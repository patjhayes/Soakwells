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C:\Users\Patrick.Hayes\OneDrive - Aurecon Group\Documents\North Fremantle Ped\"/>
    </mc:Choice>
  </mc:AlternateContent>
  <xr:revisionPtr revIDLastSave="0" documentId="8_{E8D89AD5-16A4-4689-8CD1-7FBE49AF1952}" xr6:coauthVersionLast="47" xr6:coauthVersionMax="47" xr10:uidLastSave="{00000000-0000-0000-0000-000000000000}"/>
  <bookViews>
    <workbookView xWindow="-108" yWindow="-108" windowWidth="23256" windowHeight="13896" tabRatio="618" firstSheet="6" activeTab="9" xr2:uid="{00000000-000D-0000-FFFF-FFFF00000000}"/>
  </bookViews>
  <sheets>
    <sheet name="Doc Control" sheetId="1" r:id="rId1"/>
    <sheet name="Introduction" sheetId="15" r:id="rId2"/>
    <sheet name="1.8m depth C2 Liner MD" sheetId="19" r:id="rId3"/>
    <sheet name="1.8m depth C4 Liner " sheetId="21" r:id="rId4"/>
    <sheet name="1.8m depth Rect Pit" sheetId="22" r:id="rId5"/>
    <sheet name="1.2m depth Rect Pit" sheetId="23" r:id="rId6"/>
    <sheet name="2.1m depth Rect Pit " sheetId="24" r:id="rId7"/>
    <sheet name="2.1m depth C4 Liner " sheetId="25" r:id="rId8"/>
    <sheet name="Sample calculation sheet" sheetId="9" r:id="rId9"/>
    <sheet name="Sample theory sheet" sheetId="20" r:id="rId10"/>
    <sheet name="Background" sheetId="8" state="veryHidden" r:id="rId11"/>
  </sheets>
  <functionGroups builtInGroupCount="19"/>
  <definedNames>
    <definedName name="by">'Doc Control'!$L$6</definedName>
    <definedName name="client">'Doc Control'!$B$4</definedName>
    <definedName name="Current_Logo">'Doc Control'!$T$9</definedName>
    <definedName name="CurrentVersion">'Doc Control'!$D$62</definedName>
    <definedName name="date_in">'Doc Control'!$L$4</definedName>
    <definedName name="Instructions">'Doc Control'!$A$1</definedName>
    <definedName name="job_no">'Doc Control'!$J$5</definedName>
    <definedName name="logo_cw">"Group 10708"</definedName>
    <definedName name="N.c">'Doc Control'!$F$140</definedName>
    <definedName name="NoDotsOK">'Doc Control'!$F$143</definedName>
    <definedName name="_xlnm.Print_Area" localSheetId="5">'1.2m depth Rect Pit'!$A$1:$G$102</definedName>
    <definedName name="_xlnm.Print_Area" localSheetId="2">'1.8m depth C2 Liner MD'!$A$1:$G$58</definedName>
    <definedName name="_xlnm.Print_Area" localSheetId="3">'1.8m depth C4 Liner '!$A$1:$G$58</definedName>
    <definedName name="_xlnm.Print_Area" localSheetId="4">'1.8m depth Rect Pit'!$A$1:$G$102</definedName>
    <definedName name="_xlnm.Print_Area" localSheetId="7">'2.1m depth C4 Liner '!$A$1:$G$58</definedName>
    <definedName name="_xlnm.Print_Area" localSheetId="6">'2.1m depth Rect Pit '!$A$1:$G$102</definedName>
    <definedName name="_xlnm.Print_Area" localSheetId="10">Background!$A$3:$A$72</definedName>
    <definedName name="_xlnm.Print_Area" localSheetId="0">'Doc Control'!$A$1:$M$146</definedName>
    <definedName name="_xlnm.Print_Area" localSheetId="1">Introduction!$A$1:$M$62</definedName>
    <definedName name="_xlnm.Print_Area" localSheetId="8">'Sample calculation sheet'!$A$1:$M$50</definedName>
    <definedName name="_xlnm.Print_Area" localSheetId="9">'Sample theory sheet'!$A$1:$M$50</definedName>
    <definedName name="_xlnm.Print_Titles" localSheetId="5">'1.2m depth Rect Pit'!$1:$6</definedName>
    <definedName name="_xlnm.Print_Titles" localSheetId="2">'1.8m depth C2 Liner MD'!$1:$6</definedName>
    <definedName name="_xlnm.Print_Titles" localSheetId="3">'1.8m depth C4 Liner '!$1:$6</definedName>
    <definedName name="_xlnm.Print_Titles" localSheetId="4">'1.8m depth Rect Pit'!$1:$6</definedName>
    <definedName name="_xlnm.Print_Titles" localSheetId="7">'2.1m depth C4 Liner '!$1:$6</definedName>
    <definedName name="_xlnm.Print_Titles" localSheetId="6">'2.1m depth Rect Pit '!$1:$6</definedName>
    <definedName name="_xlnm.Print_Titles" localSheetId="0">'Doc Control'!$1:$6</definedName>
    <definedName name="_xlnm.Print_Titles" localSheetId="1">Introduction!$1:$6</definedName>
    <definedName name="_xlnm.Print_Titles" localSheetId="8">'Sample calculation sheet'!$1:$6</definedName>
    <definedName name="_xlnm.Print_Titles" localSheetId="9">'Sample theory sheet'!$1:$6</definedName>
    <definedName name="project">'Doc Control'!$B$5</definedName>
    <definedName name="pwDocCode">'Doc Control'!$B$2</definedName>
    <definedName name="pwVersion">'Doc Control'!$G$2</definedName>
    <definedName name="Revision">'Doc Control'!$J$6</definedName>
    <definedName name="SpreadsheetName">'Doc Control'!$B$6</definedName>
    <definedName name="subject">'Doc Control'!$B$6</definedName>
    <definedName name="Text.ex">'Doc Control'!$F$142</definedName>
    <definedName name="φA.st">'Doc Control'!$F$141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3" i="25" l="1"/>
  <c r="A15" i="25"/>
  <c r="B11" i="25"/>
  <c r="B10" i="25"/>
  <c r="B28" i="25" s="1"/>
  <c r="B24" i="25" l="1"/>
  <c r="B35" i="25" s="1"/>
  <c r="C34" i="25"/>
  <c r="B29" i="25"/>
  <c r="B34" i="25" s="1"/>
  <c r="F35" i="25"/>
  <c r="C32" i="25"/>
  <c r="C35" i="25"/>
  <c r="E35" i="25" s="1"/>
  <c r="B20" i="25"/>
  <c r="B33" i="25" s="1"/>
  <c r="B13" i="25"/>
  <c r="B32" i="25" s="1"/>
  <c r="B36" i="25" l="1"/>
  <c r="F32" i="25"/>
  <c r="E32" i="25"/>
  <c r="E34" i="25"/>
  <c r="F34" i="25"/>
  <c r="E33" i="25"/>
  <c r="F33" i="25"/>
  <c r="B10" i="24"/>
  <c r="C35" i="24" s="1"/>
  <c r="B69" i="24"/>
  <c r="B81" i="24" s="1"/>
  <c r="B54" i="24"/>
  <c r="B51" i="24"/>
  <c r="B53" i="24" s="1"/>
  <c r="C33" i="24"/>
  <c r="A15" i="24"/>
  <c r="B11" i="24"/>
  <c r="B69" i="23"/>
  <c r="B54" i="23"/>
  <c r="B51" i="23"/>
  <c r="B53" i="23" s="1"/>
  <c r="C33" i="23"/>
  <c r="A15" i="23"/>
  <c r="B11" i="23"/>
  <c r="B20" i="23" s="1"/>
  <c r="B33" i="23" s="1"/>
  <c r="B10" i="23"/>
  <c r="C35" i="23" s="1"/>
  <c r="A87" i="22"/>
  <c r="B85" i="22"/>
  <c r="A83" i="22"/>
  <c r="B82" i="22"/>
  <c r="B81" i="22"/>
  <c r="B71" i="24" l="1"/>
  <c r="E36" i="25"/>
  <c r="F36" i="25"/>
  <c r="B38" i="25" s="1"/>
  <c r="B41" i="25" s="1"/>
  <c r="D41" i="25" s="1"/>
  <c r="B24" i="24"/>
  <c r="B35" i="24" s="1"/>
  <c r="E35" i="24" s="1"/>
  <c r="B85" i="24"/>
  <c r="B82" i="24"/>
  <c r="A83" i="24" s="1"/>
  <c r="F35" i="24"/>
  <c r="B75" i="24"/>
  <c r="B64" i="24"/>
  <c r="B13" i="24"/>
  <c r="B32" i="24" s="1"/>
  <c r="B20" i="24"/>
  <c r="B33" i="24" s="1"/>
  <c r="B28" i="24"/>
  <c r="C32" i="24"/>
  <c r="E33" i="23"/>
  <c r="F33" i="23"/>
  <c r="B75" i="23"/>
  <c r="B85" i="23" s="1"/>
  <c r="B64" i="23"/>
  <c r="B81" i="23"/>
  <c r="B13" i="23"/>
  <c r="B32" i="23" s="1"/>
  <c r="B71" i="23"/>
  <c r="B24" i="23"/>
  <c r="B35" i="23" s="1"/>
  <c r="B28" i="23"/>
  <c r="C32" i="23"/>
  <c r="B75" i="22"/>
  <c r="B71" i="22"/>
  <c r="B69" i="22"/>
  <c r="B64" i="22"/>
  <c r="B53" i="22"/>
  <c r="B54" i="22"/>
  <c r="B51" i="22"/>
  <c r="B19" i="22"/>
  <c r="C33" i="22" s="1"/>
  <c r="A15" i="22"/>
  <c r="B11" i="22"/>
  <c r="B10" i="22"/>
  <c r="C35" i="22" s="1"/>
  <c r="B40" i="21"/>
  <c r="C33" i="21"/>
  <c r="A15" i="21"/>
  <c r="B11" i="21"/>
  <c r="B10" i="21"/>
  <c r="C35" i="21" s="1"/>
  <c r="C33" i="19"/>
  <c r="B29" i="24" l="1"/>
  <c r="B34" i="24" s="1"/>
  <c r="C34" i="24"/>
  <c r="F33" i="24"/>
  <c r="E33" i="24"/>
  <c r="A87" i="24"/>
  <c r="F32" i="24"/>
  <c r="E32" i="24"/>
  <c r="B36" i="24"/>
  <c r="B13" i="21"/>
  <c r="B32" i="21" s="1"/>
  <c r="B28" i="21"/>
  <c r="A87" i="23"/>
  <c r="E35" i="23"/>
  <c r="F35" i="23"/>
  <c r="B29" i="23"/>
  <c r="B34" i="23" s="1"/>
  <c r="C34" i="23"/>
  <c r="B36" i="23"/>
  <c r="E32" i="23"/>
  <c r="F32" i="23"/>
  <c r="B82" i="23"/>
  <c r="A83" i="23" s="1"/>
  <c r="B24" i="22"/>
  <c r="B35" i="22" s="1"/>
  <c r="E35" i="22" s="1"/>
  <c r="B13" i="22"/>
  <c r="B32" i="22" s="1"/>
  <c r="B28" i="22"/>
  <c r="C32" i="22"/>
  <c r="B20" i="22"/>
  <c r="B33" i="22" s="1"/>
  <c r="C32" i="21"/>
  <c r="E32" i="21" s="1"/>
  <c r="B20" i="21"/>
  <c r="B33" i="21" s="1"/>
  <c r="B24" i="21"/>
  <c r="B35" i="21" s="1"/>
  <c r="F34" i="24" l="1"/>
  <c r="F36" i="24" s="1"/>
  <c r="B39" i="24" s="1"/>
  <c r="E34" i="24"/>
  <c r="E36" i="24" s="1"/>
  <c r="B38" i="24" s="1"/>
  <c r="B46" i="24" s="1"/>
  <c r="B36" i="21"/>
  <c r="F32" i="21"/>
  <c r="B29" i="21"/>
  <c r="B34" i="21" s="1"/>
  <c r="C34" i="21"/>
  <c r="F34" i="23"/>
  <c r="F36" i="23" s="1"/>
  <c r="B39" i="23" s="1"/>
  <c r="E34" i="23"/>
  <c r="E36" i="23" s="1"/>
  <c r="B38" i="23" s="1"/>
  <c r="B46" i="23" s="1"/>
  <c r="F35" i="22"/>
  <c r="F33" i="22"/>
  <c r="E33" i="22"/>
  <c r="B29" i="22"/>
  <c r="B34" i="22" s="1"/>
  <c r="B36" i="22" s="1"/>
  <c r="C34" i="22"/>
  <c r="E32" i="22"/>
  <c r="F32" i="22"/>
  <c r="F35" i="21"/>
  <c r="E35" i="21"/>
  <c r="E33" i="21"/>
  <c r="F33" i="21"/>
  <c r="A15" i="19"/>
  <c r="B11" i="19"/>
  <c r="B20" i="19" s="1"/>
  <c r="B33" i="19" s="1"/>
  <c r="B61" i="24" l="1"/>
  <c r="B67" i="24"/>
  <c r="A71" i="24" s="1"/>
  <c r="A86" i="24"/>
  <c r="F34" i="21"/>
  <c r="F36" i="21" s="1"/>
  <c r="B38" i="21" s="1"/>
  <c r="B41" i="21" s="1"/>
  <c r="D41" i="21" s="1"/>
  <c r="E34" i="21"/>
  <c r="E36" i="21" s="1"/>
  <c r="B61" i="23"/>
  <c r="B67" i="23"/>
  <c r="A71" i="23" s="1"/>
  <c r="A86" i="23"/>
  <c r="F34" i="22"/>
  <c r="F36" i="22" s="1"/>
  <c r="B39" i="22" s="1"/>
  <c r="E34" i="22"/>
  <c r="E36" i="22" s="1"/>
  <c r="B38" i="22" s="1"/>
  <c r="B46" i="22" s="1"/>
  <c r="F33" i="19"/>
  <c r="E33" i="19"/>
  <c r="B28" i="19"/>
  <c r="C34" i="19" s="1"/>
  <c r="C35" i="19"/>
  <c r="C32" i="19"/>
  <c r="B24" i="19"/>
  <c r="B35" i="19" s="1"/>
  <c r="B13" i="19"/>
  <c r="B32" i="19" s="1"/>
  <c r="A86" i="22" l="1"/>
  <c r="B67" i="22"/>
  <c r="A71" i="22" s="1"/>
  <c r="B61" i="22"/>
  <c r="E32" i="19"/>
  <c r="F32" i="19"/>
  <c r="F35" i="19"/>
  <c r="E35" i="19"/>
  <c r="B29" i="19"/>
  <c r="B34" i="19" s="1"/>
  <c r="F34" i="19" l="1"/>
  <c r="F36" i="19" s="1"/>
  <c r="B38" i="19" s="1"/>
  <c r="B41" i="19" s="1"/>
  <c r="D41" i="19" s="1"/>
  <c r="E34" i="19"/>
  <c r="E36" i="19" s="1"/>
  <c r="B36" i="19"/>
  <c r="O14" i="9" l="1"/>
  <c r="O13" i="9"/>
  <c r="N14" i="9"/>
  <c r="N13" i="9"/>
  <c r="N11" i="9"/>
  <c r="N10" i="9"/>
  <c r="C61" i="1"/>
  <c r="B60" i="1"/>
  <c r="A58" i="1"/>
  <c r="F58" i="1"/>
  <c r="J60" i="1"/>
  <c r="A60" i="1"/>
  <c r="B2" i="1"/>
  <c r="C60" i="1"/>
  <c r="J61" i="1"/>
  <c r="F59" i="1"/>
  <c r="H59" i="1"/>
  <c r="A61" i="1"/>
  <c r="H60" i="1"/>
  <c r="A59" i="1"/>
  <c r="D56" i="1"/>
  <c r="C59" i="1"/>
  <c r="H61" i="1"/>
  <c r="J58" i="1"/>
  <c r="J59" i="1"/>
  <c r="L4" i="1"/>
  <c r="F60" i="1"/>
  <c r="B61" i="1"/>
  <c r="B59" i="1"/>
  <c r="C58" i="1"/>
  <c r="F61" i="1"/>
  <c r="G2" i="1"/>
  <c r="H58" i="1"/>
  <c r="B58" i="1"/>
  <c r="D55" i="1" l="1"/>
  <c r="F143" i="1"/>
  <c r="F142" i="1"/>
  <c r="F141" i="1"/>
  <c r="F140" i="1"/>
  <c r="D62" i="1" l="1"/>
  <c r="N12" i="9"/>
  <c r="O11" i="9"/>
  <c r="O10" i="9"/>
  <c r="O12" i="9"/>
  <c r="M32" i="9"/>
  <c r="M28" i="9"/>
  <c r="M31" i="9"/>
  <c r="M30" i="9"/>
  <c r="M29" i="9"/>
  <c r="M27" i="9"/>
  <c r="D5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Saberali Bin Akbar</author>
  </authors>
  <commentList>
    <comment ref="B10" authorId="0" shapeId="0" xr:uid="{4964BEC9-F42D-4F67-A1E3-6E43B5DAD453}">
      <text>
        <r>
          <rPr>
            <b/>
            <sz val="9"/>
            <color indexed="81"/>
            <rFont val="Tahoma"/>
            <family val="2"/>
          </rPr>
          <t>Saberali Bin Akbar:</t>
        </r>
        <r>
          <rPr>
            <sz val="9"/>
            <color indexed="81"/>
            <rFont val="Tahoma"/>
            <family val="2"/>
          </rPr>
          <t xml:space="preserve">
Liner depth + top cover+bottom slab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Saberali Bin Akbar</author>
  </authors>
  <commentList>
    <comment ref="B10" authorId="0" shapeId="0" xr:uid="{5D30DA36-7870-4750-8FC7-262E466D8DA7}">
      <text>
        <r>
          <rPr>
            <b/>
            <sz val="9"/>
            <color indexed="81"/>
            <rFont val="Tahoma"/>
            <family val="2"/>
          </rPr>
          <t>Saberali Bin Akbar:</t>
        </r>
        <r>
          <rPr>
            <sz val="9"/>
            <color indexed="81"/>
            <rFont val="Tahoma"/>
            <family val="2"/>
          </rPr>
          <t xml:space="preserve">
Liner depth + top cover+bottom slab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Saberali Bin Akbar</author>
  </authors>
  <commentList>
    <comment ref="B10" authorId="0" shapeId="0" xr:uid="{CA91A202-50E5-486C-9EB6-660E9DE387BA}">
      <text>
        <r>
          <rPr>
            <b/>
            <sz val="9"/>
            <color indexed="81"/>
            <rFont val="Tahoma"/>
            <family val="2"/>
          </rPr>
          <t>Saberali Bin Akbar:</t>
        </r>
        <r>
          <rPr>
            <sz val="9"/>
            <color indexed="81"/>
            <rFont val="Tahoma"/>
            <family val="2"/>
          </rPr>
          <t xml:space="preserve">
Liner depth + top cover+bottom slab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Saberali Bin Akbar</author>
  </authors>
  <commentList>
    <comment ref="B10" authorId="0" shapeId="0" xr:uid="{23098E3A-D5BC-4B9A-9AA2-2A2BB51A8A95}">
      <text>
        <r>
          <rPr>
            <b/>
            <sz val="9"/>
            <color indexed="81"/>
            <rFont val="Tahoma"/>
            <family val="2"/>
          </rPr>
          <t>Saberali Bin Akbar:</t>
        </r>
        <r>
          <rPr>
            <sz val="9"/>
            <color indexed="81"/>
            <rFont val="Tahoma"/>
            <family val="2"/>
          </rPr>
          <t xml:space="preserve">
Liner depth + top cover+bottom slab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Saberali Bin Akbar</author>
  </authors>
  <commentList>
    <comment ref="B10" authorId="0" shapeId="0" xr:uid="{7D15D927-1D8B-4484-94E5-B04D87687296}">
      <text>
        <r>
          <rPr>
            <b/>
            <sz val="9"/>
            <color indexed="81"/>
            <rFont val="Tahoma"/>
            <family val="2"/>
          </rPr>
          <t>Saberali Bin Akbar:</t>
        </r>
        <r>
          <rPr>
            <sz val="9"/>
            <color indexed="81"/>
            <rFont val="Tahoma"/>
            <family val="2"/>
          </rPr>
          <t xml:space="preserve">
Liner depth + top cover+bottom slab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Saberali Bin Akbar</author>
  </authors>
  <commentList>
    <comment ref="B10" authorId="0" shapeId="0" xr:uid="{DCAD12C6-3369-46FD-99C8-1DFE794A4ABB}">
      <text>
        <r>
          <rPr>
            <b/>
            <sz val="9"/>
            <color indexed="81"/>
            <rFont val="Tahoma"/>
            <family val="2"/>
          </rPr>
          <t>Saberali Bin Akbar:</t>
        </r>
        <r>
          <rPr>
            <sz val="9"/>
            <color indexed="81"/>
            <rFont val="Tahoma"/>
            <family val="2"/>
          </rPr>
          <t xml:space="preserve">
Liner depth + top cover+bottom slab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Richard Woollard</author>
  </authors>
  <commentList>
    <comment ref="N9" authorId="0" shapeId="0" xr:uid="{00000000-0006-0000-0300-000001000000}">
      <text>
        <r>
          <rPr>
            <b/>
            <sz val="9"/>
            <color indexed="81"/>
            <rFont val="Tahoma"/>
            <family val="2"/>
          </rPr>
          <t>Suggest the use of Data Validation or conditional checks, as per cells N11 and O11, to prevent input errors.</t>
        </r>
      </text>
    </comment>
    <comment ref="G10" authorId="0" shapeId="0" xr:uid="{00000000-0006-0000-0300-000002000000}">
      <text>
        <r>
          <rPr>
            <b/>
            <sz val="9"/>
            <color indexed="81"/>
            <rFont val="Tahoma"/>
            <family val="2"/>
          </rPr>
          <t>Name all input cells for ease of verification and understanding</t>
        </r>
      </text>
    </comment>
  </commentList>
</comments>
</file>

<file path=xl/sharedStrings.xml><?xml version="1.0" encoding="utf-8"?>
<sst xmlns="http://schemas.openxmlformats.org/spreadsheetml/2006/main" count="799" uniqueCount="328">
  <si>
    <t>Date:</t>
  </si>
  <si>
    <t>Client:</t>
  </si>
  <si>
    <t>Project:</t>
  </si>
  <si>
    <t>Document control</t>
  </si>
  <si>
    <t>Document ID</t>
  </si>
  <si>
    <t>Date</t>
  </si>
  <si>
    <t>Author</t>
  </si>
  <si>
    <t>Verifier</t>
  </si>
  <si>
    <t>Approver</t>
  </si>
  <si>
    <t>d</t>
  </si>
  <si>
    <t>mm</t>
  </si>
  <si>
    <t xml:space="preserve"> Cl 1.4</t>
  </si>
  <si>
    <t>kNm</t>
  </si>
  <si>
    <t xml:space="preserve"> Cl 5.1</t>
  </si>
  <si>
    <t>kN</t>
  </si>
  <si>
    <t xml:space="preserve"> Cl 5.11.1</t>
  </si>
  <si>
    <t xml:space="preserve"> Cl 6.1</t>
  </si>
  <si>
    <r>
      <t>I</t>
    </r>
    <r>
      <rPr>
        <vertAlign val="subscript"/>
        <sz val="10"/>
        <rFont val="Arial"/>
        <family val="2"/>
      </rPr>
      <t>x</t>
    </r>
  </si>
  <si>
    <r>
      <t>mm</t>
    </r>
    <r>
      <rPr>
        <vertAlign val="superscript"/>
        <sz val="10"/>
        <rFont val="Arial"/>
        <family val="2"/>
      </rPr>
      <t>4</t>
    </r>
  </si>
  <si>
    <t>refer theory page</t>
  </si>
  <si>
    <r>
      <t>Z</t>
    </r>
    <r>
      <rPr>
        <vertAlign val="subscript"/>
        <sz val="10"/>
        <rFont val="Arial"/>
        <family val="2"/>
      </rPr>
      <t>x</t>
    </r>
  </si>
  <si>
    <r>
      <t>mm</t>
    </r>
    <r>
      <rPr>
        <vertAlign val="superscript"/>
        <sz val="10"/>
        <rFont val="Arial"/>
        <family val="2"/>
      </rPr>
      <t>3</t>
    </r>
  </si>
  <si>
    <r>
      <t>S</t>
    </r>
    <r>
      <rPr>
        <vertAlign val="subscript"/>
        <sz val="10"/>
        <rFont val="Arial"/>
        <family val="2"/>
      </rPr>
      <t>x</t>
    </r>
  </si>
  <si>
    <t>Reference</t>
  </si>
  <si>
    <t>Validity Test</t>
  </si>
  <si>
    <t>Limits</t>
  </si>
  <si>
    <t>Details of changes</t>
  </si>
  <si>
    <t>- change 1 description</t>
  </si>
  <si>
    <t>- change 2 description</t>
  </si>
  <si>
    <t>Spreadsheet title</t>
  </si>
  <si>
    <t>File path</t>
  </si>
  <si>
    <t>Revision details/status</t>
  </si>
  <si>
    <r>
      <t>2 t</t>
    </r>
    <r>
      <rPr>
        <vertAlign val="subscript"/>
        <sz val="10"/>
        <rFont val="Arial"/>
        <family val="2"/>
      </rPr>
      <t>f</t>
    </r>
    <r>
      <rPr>
        <sz val="8"/>
        <rFont val="Arial"/>
        <family val="2"/>
      </rPr>
      <t xml:space="preserve"> &lt; d ≤ 2000mm</t>
    </r>
  </si>
  <si>
    <r>
      <t>t</t>
    </r>
    <r>
      <rPr>
        <vertAlign val="subscript"/>
        <sz val="10"/>
        <rFont val="Arial"/>
        <family val="2"/>
      </rPr>
      <t>w</t>
    </r>
    <r>
      <rPr>
        <sz val="8"/>
        <rFont val="Arial"/>
        <family val="2"/>
      </rPr>
      <t xml:space="preserve"> &lt; b</t>
    </r>
    <r>
      <rPr>
        <vertAlign val="subscript"/>
        <sz val="10"/>
        <rFont val="Arial"/>
        <family val="2"/>
      </rPr>
      <t>f</t>
    </r>
    <r>
      <rPr>
        <sz val="8"/>
        <rFont val="Arial"/>
        <family val="2"/>
      </rPr>
      <t xml:space="preserve"> ≤ 2000mm</t>
    </r>
  </si>
  <si>
    <r>
      <t>3 ≤ t</t>
    </r>
    <r>
      <rPr>
        <vertAlign val="subscript"/>
        <sz val="10"/>
        <rFont val="Arial"/>
        <family val="2"/>
      </rPr>
      <t>f</t>
    </r>
    <r>
      <rPr>
        <sz val="8"/>
        <rFont val="Arial"/>
        <family val="2"/>
      </rPr>
      <t xml:space="preserve"> ≤ 100mm</t>
    </r>
  </si>
  <si>
    <r>
      <t>3 ≤ t</t>
    </r>
    <r>
      <rPr>
        <vertAlign val="subscript"/>
        <sz val="10"/>
        <rFont val="Arial"/>
        <family val="2"/>
      </rPr>
      <t>w</t>
    </r>
    <r>
      <rPr>
        <sz val="8"/>
        <rFont val="Arial"/>
        <family val="2"/>
      </rPr>
      <t xml:space="preserve"> &lt; 2 (t</t>
    </r>
    <r>
      <rPr>
        <vertAlign val="subscript"/>
        <sz val="10"/>
        <rFont val="Arial"/>
        <family val="2"/>
      </rPr>
      <t>f</t>
    </r>
    <r>
      <rPr>
        <sz val="8"/>
        <rFont val="Arial"/>
        <family val="2"/>
      </rPr>
      <t xml:space="preserve"> + r</t>
    </r>
    <r>
      <rPr>
        <vertAlign val="subscript"/>
        <sz val="10"/>
        <rFont val="Arial"/>
        <family val="2"/>
      </rPr>
      <t>1</t>
    </r>
    <r>
      <rPr>
        <sz val="8"/>
        <rFont val="Arial"/>
        <family val="2"/>
      </rPr>
      <t>)</t>
    </r>
  </si>
  <si>
    <r>
      <t>0 ≤ r</t>
    </r>
    <r>
      <rPr>
        <vertAlign val="subscript"/>
        <sz val="10"/>
        <rFont val="Arial"/>
        <family val="2"/>
      </rPr>
      <t>1</t>
    </r>
    <r>
      <rPr>
        <sz val="8"/>
        <rFont val="Arial"/>
        <family val="2"/>
      </rPr>
      <t xml:space="preserve"> ≤ (b</t>
    </r>
    <r>
      <rPr>
        <vertAlign val="subscript"/>
        <sz val="10"/>
        <rFont val="Arial"/>
        <family val="2"/>
      </rPr>
      <t>f</t>
    </r>
    <r>
      <rPr>
        <sz val="8"/>
        <rFont val="Arial"/>
        <family val="2"/>
      </rPr>
      <t>-t</t>
    </r>
    <r>
      <rPr>
        <vertAlign val="subscript"/>
        <sz val="10"/>
        <rFont val="Arial"/>
        <family val="2"/>
      </rPr>
      <t>w</t>
    </r>
    <r>
      <rPr>
        <sz val="8"/>
        <rFont val="Arial"/>
        <family val="2"/>
      </rPr>
      <t>)/2 and ≤ d</t>
    </r>
    <r>
      <rPr>
        <vertAlign val="subscript"/>
        <sz val="10"/>
        <rFont val="Arial"/>
        <family val="2"/>
      </rPr>
      <t>1</t>
    </r>
    <r>
      <rPr>
        <sz val="8"/>
        <rFont val="Arial"/>
        <family val="2"/>
      </rPr>
      <t>/2</t>
    </r>
  </si>
  <si>
    <r>
      <t>I</t>
    </r>
    <r>
      <rPr>
        <vertAlign val="subscript"/>
        <sz val="10"/>
        <rFont val="Arial"/>
        <family val="2"/>
      </rPr>
      <t>x</t>
    </r>
    <r>
      <rPr>
        <sz val="8"/>
        <rFont val="Arial"/>
        <family val="2"/>
      </rPr>
      <t xml:space="preserve"> / (d/2)</t>
    </r>
  </si>
  <si>
    <t>Formulae</t>
  </si>
  <si>
    <t>Sample input e.g. Custom section - overall depth</t>
  </si>
  <si>
    <t>Sample input e.g. Custom section - flange width</t>
  </si>
  <si>
    <t>Sample input e.g. Custom section - flange thickness</t>
  </si>
  <si>
    <t>Sample input e.g. Custom section - web thickness</t>
  </si>
  <si>
    <t>Sample input e.g. Custom section - root radius</t>
  </si>
  <si>
    <t>Sample Heading-2 e.g. Section capacities</t>
  </si>
  <si>
    <t>Sample Heading-1 e.g. Outputs</t>
  </si>
  <si>
    <t>The equation editor is preferred for formulas, e.g.</t>
  </si>
  <si>
    <t>Macros to be avoided in favour of 'native' excel where possible.</t>
  </si>
  <si>
    <t>If macros are required, e.g. for iteration, goal seek automation, etc. then document well.</t>
  </si>
  <si>
    <t xml:space="preserve">Include diagrams to explain nomenclature where possible
</t>
  </si>
  <si>
    <t>Sample notes</t>
  </si>
  <si>
    <t>Revision:</t>
  </si>
  <si>
    <t>Theory</t>
  </si>
  <si>
    <t>Sample Heading-2</t>
  </si>
  <si>
    <t>Project number:</t>
  </si>
  <si>
    <t>General description</t>
  </si>
  <si>
    <t>Assumptions</t>
  </si>
  <si>
    <t>Limitations</t>
  </si>
  <si>
    <t>Nomenclature</t>
  </si>
  <si>
    <t>Legend</t>
  </si>
  <si>
    <t>Feedback</t>
  </si>
  <si>
    <t>Key outputs:</t>
  </si>
  <si>
    <t>Intermediate outputs:</t>
  </si>
  <si>
    <t>Inputs:</t>
  </si>
  <si>
    <t>Sample Heading-3 e.g. Mechanical belt area calculation theory</t>
  </si>
  <si>
    <t>Version</t>
  </si>
  <si>
    <t>Codes / theoretical basis</t>
  </si>
  <si>
    <t>e.g. 2</t>
  </si>
  <si>
    <t>e.g. 1</t>
  </si>
  <si>
    <t>State in general terms what the inputs are, e.g. geometry, loads, moments, material properties, bolts, etc.
Do not write "Refer to spreadsheet."</t>
  </si>
  <si>
    <r>
      <rPr>
        <sz val="8"/>
        <rFont val="Symbol"/>
        <family val="1"/>
        <charset val="2"/>
      </rPr>
      <t>f</t>
    </r>
    <r>
      <rPr>
        <sz val="8"/>
        <rFont val="Arial"/>
        <family val="2"/>
      </rPr>
      <t>M</t>
    </r>
    <r>
      <rPr>
        <vertAlign val="subscript"/>
        <sz val="8"/>
        <rFont val="Arial"/>
        <family val="2"/>
      </rPr>
      <t>sx</t>
    </r>
  </si>
  <si>
    <r>
      <rPr>
        <sz val="8"/>
        <rFont val="Symbol"/>
        <family val="1"/>
        <charset val="2"/>
      </rPr>
      <t>f</t>
    </r>
    <r>
      <rPr>
        <sz val="8"/>
        <rFont val="Arial"/>
        <family val="2"/>
      </rPr>
      <t>M</t>
    </r>
    <r>
      <rPr>
        <vertAlign val="subscript"/>
        <sz val="8"/>
        <rFont val="Arial"/>
        <family val="2"/>
      </rPr>
      <t>bx</t>
    </r>
  </si>
  <si>
    <r>
      <rPr>
        <sz val="8"/>
        <rFont val="Symbol"/>
        <family val="1"/>
        <charset val="2"/>
      </rPr>
      <t>f</t>
    </r>
    <r>
      <rPr>
        <sz val="8"/>
        <rFont val="Arial"/>
        <family val="2"/>
      </rPr>
      <t>M</t>
    </r>
    <r>
      <rPr>
        <vertAlign val="subscript"/>
        <sz val="8"/>
        <rFont val="Arial"/>
        <family val="2"/>
      </rPr>
      <t>sy</t>
    </r>
  </si>
  <si>
    <r>
      <rPr>
        <sz val="8"/>
        <rFont val="Symbol"/>
        <family val="1"/>
        <charset val="2"/>
      </rPr>
      <t>f</t>
    </r>
    <r>
      <rPr>
        <sz val="8"/>
        <rFont val="Arial"/>
        <family val="2"/>
      </rPr>
      <t>V</t>
    </r>
    <r>
      <rPr>
        <vertAlign val="subscript"/>
        <sz val="8"/>
        <rFont val="Arial"/>
        <family val="2"/>
      </rPr>
      <t>v</t>
    </r>
  </si>
  <si>
    <r>
      <rPr>
        <sz val="8"/>
        <rFont val="Symbol"/>
        <family val="1"/>
        <charset val="2"/>
      </rPr>
      <t>f</t>
    </r>
    <r>
      <rPr>
        <sz val="8"/>
        <rFont val="Arial"/>
        <family val="2"/>
      </rPr>
      <t>N</t>
    </r>
    <r>
      <rPr>
        <vertAlign val="subscript"/>
        <sz val="8"/>
        <rFont val="Arial"/>
        <family val="2"/>
      </rPr>
      <t>s</t>
    </r>
  </si>
  <si>
    <t>spreadsheetfeedback@aurecongroup.com</t>
  </si>
  <si>
    <t>By:</t>
  </si>
  <si>
    <t>State what the intermediate outputs are, e.g. weld size, number of bolts, material thickness, forces, moments, capacities, etc.</t>
  </si>
  <si>
    <t>State what the key outputs are, e.g. weld size, number of bolts, material thickness, forces, moments, capacities, etc.</t>
  </si>
  <si>
    <t>Sample heading 1 e.g. Input parameters</t>
  </si>
  <si>
    <t>Sample heading 2 e.g. Geometry</t>
  </si>
  <si>
    <t>Sample heading 3</t>
  </si>
  <si>
    <t>Sample heading 1 e.g. Properties / intermediate calculations</t>
  </si>
  <si>
    <t>Heading-3: As per 'Normal' except, font-style = bold</t>
  </si>
  <si>
    <t>Intermediate output: As per normal except, thin border</t>
  </si>
  <si>
    <t>Set-up instructions</t>
  </si>
  <si>
    <t>Normal: Arial, 8pt, locked cell</t>
  </si>
  <si>
    <r>
      <t>M</t>
    </r>
    <r>
      <rPr>
        <vertAlign val="superscript"/>
        <sz val="10"/>
        <rFont val="Arial"/>
        <family val="2"/>
      </rPr>
      <t>*</t>
    </r>
    <r>
      <rPr>
        <vertAlign val="subscript"/>
        <sz val="10"/>
        <rFont val="Arial"/>
        <family val="2"/>
      </rPr>
      <t>x</t>
    </r>
    <r>
      <rPr>
        <sz val="8"/>
        <rFont val="Arial"/>
        <family val="2"/>
      </rPr>
      <t xml:space="preserve"> ≤ </t>
    </r>
    <r>
      <rPr>
        <sz val="10"/>
        <rFont val="Symbol"/>
        <family val="1"/>
        <charset val="2"/>
      </rPr>
      <t>f</t>
    </r>
    <r>
      <rPr>
        <sz val="8"/>
        <rFont val="Arial"/>
        <family val="2"/>
      </rPr>
      <t>M</t>
    </r>
    <r>
      <rPr>
        <vertAlign val="subscript"/>
        <sz val="10"/>
        <rFont val="Arial"/>
        <family val="2"/>
      </rPr>
      <t>sx</t>
    </r>
  </si>
  <si>
    <r>
      <t>M</t>
    </r>
    <r>
      <rPr>
        <vertAlign val="superscript"/>
        <sz val="10"/>
        <rFont val="Arial"/>
        <family val="2"/>
      </rPr>
      <t>*</t>
    </r>
    <r>
      <rPr>
        <vertAlign val="subscript"/>
        <sz val="10"/>
        <rFont val="Arial"/>
        <family val="2"/>
      </rPr>
      <t>x</t>
    </r>
    <r>
      <rPr>
        <sz val="8"/>
        <rFont val="Arial"/>
        <family val="2"/>
      </rPr>
      <t xml:space="preserve"> ≤ </t>
    </r>
    <r>
      <rPr>
        <sz val="10"/>
        <rFont val="Symbol"/>
        <family val="1"/>
        <charset val="2"/>
      </rPr>
      <t>f</t>
    </r>
    <r>
      <rPr>
        <sz val="8"/>
        <rFont val="Arial"/>
        <family val="2"/>
      </rPr>
      <t>M</t>
    </r>
    <r>
      <rPr>
        <vertAlign val="subscript"/>
        <sz val="10"/>
        <rFont val="Arial"/>
        <family val="2"/>
      </rPr>
      <t>bx</t>
    </r>
  </si>
  <si>
    <r>
      <t>M</t>
    </r>
    <r>
      <rPr>
        <vertAlign val="superscript"/>
        <sz val="10"/>
        <rFont val="Arial"/>
        <family val="2"/>
      </rPr>
      <t>*</t>
    </r>
    <r>
      <rPr>
        <vertAlign val="subscript"/>
        <sz val="10"/>
        <rFont val="Arial"/>
        <family val="2"/>
      </rPr>
      <t>y</t>
    </r>
    <r>
      <rPr>
        <sz val="8"/>
        <rFont val="Arial"/>
        <family val="2"/>
      </rPr>
      <t xml:space="preserve"> ≤ </t>
    </r>
    <r>
      <rPr>
        <sz val="10"/>
        <rFont val="Symbol"/>
        <family val="1"/>
        <charset val="2"/>
      </rPr>
      <t>f</t>
    </r>
    <r>
      <rPr>
        <sz val="8"/>
        <rFont val="Arial"/>
        <family val="2"/>
      </rPr>
      <t>M</t>
    </r>
    <r>
      <rPr>
        <vertAlign val="subscript"/>
        <sz val="10"/>
        <rFont val="Arial"/>
        <family val="2"/>
      </rPr>
      <t>sy</t>
    </r>
  </si>
  <si>
    <r>
      <t>V</t>
    </r>
    <r>
      <rPr>
        <vertAlign val="superscript"/>
        <sz val="10"/>
        <rFont val="Arial"/>
        <family val="2"/>
      </rPr>
      <t>*</t>
    </r>
    <r>
      <rPr>
        <vertAlign val="subscript"/>
        <sz val="10"/>
        <rFont val="Arial"/>
        <family val="2"/>
      </rPr>
      <t>x</t>
    </r>
    <r>
      <rPr>
        <sz val="8"/>
        <rFont val="Arial"/>
        <family val="2"/>
      </rPr>
      <t xml:space="preserve"> ≤ </t>
    </r>
    <r>
      <rPr>
        <sz val="10"/>
        <rFont val="Symbol"/>
        <family val="1"/>
        <charset val="2"/>
      </rPr>
      <t>f</t>
    </r>
    <r>
      <rPr>
        <sz val="8"/>
        <rFont val="Arial"/>
        <family val="2"/>
      </rPr>
      <t>V</t>
    </r>
    <r>
      <rPr>
        <vertAlign val="subscript"/>
        <sz val="10"/>
        <rFont val="Arial"/>
        <family val="2"/>
      </rPr>
      <t>v</t>
    </r>
  </si>
  <si>
    <r>
      <t>N</t>
    </r>
    <r>
      <rPr>
        <vertAlign val="superscript"/>
        <sz val="10"/>
        <rFont val="Arial"/>
        <family val="2"/>
      </rPr>
      <t>*</t>
    </r>
    <r>
      <rPr>
        <sz val="8"/>
        <rFont val="Arial"/>
        <family val="2"/>
      </rPr>
      <t xml:space="preserve"> ≤ </t>
    </r>
    <r>
      <rPr>
        <sz val="10"/>
        <rFont val="Symbol"/>
        <family val="1"/>
        <charset val="2"/>
      </rPr>
      <t>f</t>
    </r>
    <r>
      <rPr>
        <sz val="8"/>
        <rFont val="Arial"/>
        <family val="2"/>
      </rPr>
      <t>N</t>
    </r>
    <r>
      <rPr>
        <vertAlign val="subscript"/>
        <sz val="10"/>
        <rFont val="Arial"/>
        <family val="2"/>
      </rPr>
      <t>s</t>
    </r>
  </si>
  <si>
    <t>Organise calculations logically</t>
  </si>
  <si>
    <t>Include diagrams if worthwhile to aid understanding</t>
  </si>
  <si>
    <t>Page printing scale: 100%</t>
  </si>
  <si>
    <t>Heading-1: As per 'Normal' except, font-size = 11pt, fill = "Aurecon Dark Grey"* rgb(53, 61, 48), font-colour = white, font-style = bold</t>
  </si>
  <si>
    <t>Heading-2: As per 'Normal' except, font-size = 10pt, fill = "Tint of Aurecon Lime Green"* rgb(241, 248, 229), font-style = bold</t>
  </si>
  <si>
    <t>Output: As per normal except, fill = "Aurecon Lime Green"* rgb(132, 196, 70), font-style = bold, thick border</t>
  </si>
  <si>
    <t>Margins</t>
  </si>
  <si>
    <t>Left margin: 1.8cm(suitable for hole punching)</t>
  </si>
  <si>
    <t>Right margin: 1.0cm</t>
  </si>
  <si>
    <t xml:space="preserve">Header margin: 0.0cm
</t>
  </si>
  <si>
    <t>Bottom margin: 1.9cm</t>
  </si>
  <si>
    <t>Top margin: 0.6cm</t>
  </si>
  <si>
    <t>A</t>
  </si>
  <si>
    <t>B</t>
  </si>
  <si>
    <t>m</t>
  </si>
  <si>
    <t>C</t>
  </si>
  <si>
    <t xml:space="preserve"> A &lt; C</t>
  </si>
  <si>
    <t xml:space="preserve"> Cl 6.2</t>
  </si>
  <si>
    <t>Sample intermediate output</t>
  </si>
  <si>
    <t>Sample output</t>
  </si>
  <si>
    <t>Page layout</t>
  </si>
  <si>
    <t>* Refer Aurecon Brand Identity Guidelines Version 1.2</t>
  </si>
  <si>
    <t>Please use the following email address for comments, corrections, suggestions or other feedback regarding this spreadsheet:</t>
  </si>
  <si>
    <t>Notes, notes, notes…</t>
  </si>
  <si>
    <t>Compulsory formatting requirements</t>
  </si>
  <si>
    <t>Recommended formatting requirements</t>
  </si>
  <si>
    <t>Formatting instructions</t>
  </si>
  <si>
    <t>Custom excel styles have been set up to enable consistent and easy to use formatting. Please use these styles, located within the 'Styles' group on the 'Home' tab of the Excel Ribbon, for headings, input cells, intermediate output cells and output cells.
Page margins have been set to the following - left margin: 1.8cm(suitable for hole punching), right margin: 1.0cm, header margin: 0.0cm, bottom margin: 1.9cm, top margin: 0.6cm
Based on the above page margins, the title block has been set to 182mm wide to fit on a portrait A4 page or larger. Narrower pages are not supported.</t>
  </si>
  <si>
    <t>Style definitions</t>
  </si>
  <si>
    <t>Logos</t>
  </si>
  <si>
    <t>For portrait A4, the usable page width is 182mm (210mm A4 page width - 18mm left margin - 10mm right margin = 182mm)</t>
  </si>
  <si>
    <t>By default 13 x 14mm wide columns are used for portrait A4; 13 x 14mm = 182mm</t>
  </si>
  <si>
    <t>Blank calculation and theory sheets have been set as A4 portrait</t>
  </si>
  <si>
    <t>This tab is only intended for use by the developers of the calculation spreadsheet template to record useful information relating to template development.</t>
  </si>
  <si>
    <t>Spreadsheet primarily based on the previous structural calculation spreadsheet template</t>
  </si>
  <si>
    <t>logoA</t>
  </si>
  <si>
    <t>e.g. 3</t>
  </si>
  <si>
    <t>1.0.1</t>
  </si>
  <si>
    <t>Initial release of production version on intranet</t>
  </si>
  <si>
    <t>Template version history</t>
  </si>
  <si>
    <t>Changed Excel colour theme to custom Aurecon colours, corrected comment in cell D65, added this version history to the hidden 'Background' tab</t>
  </si>
  <si>
    <t>bf</t>
  </si>
  <si>
    <t>tf</t>
  </si>
  <si>
    <t>tw</t>
  </si>
  <si>
    <t>r1</t>
  </si>
  <si>
    <t>By</t>
  </si>
  <si>
    <t>Description</t>
  </si>
  <si>
    <t>TM</t>
  </si>
  <si>
    <t>Input: As per normal except, fill ="60% - Accent 5" rgb(220, 239, 188), thin border, unlocked cell</t>
  </si>
  <si>
    <t>Issue #</t>
  </si>
  <si>
    <t>Changed 'input' cell style fill colour to "60% - Accent 5" rgb(220, 239, 188), changed the revision box in the title block to "Don’t move or size with cells", changed 'Output' cell style to have a border, minor changes to this Background tab including the addition of the Known issues section, minor re-alignments to the notes on the introduction tab, changed logo image macro to set logos to "Don't move or size with cells".</t>
  </si>
  <si>
    <t>NW</t>
  </si>
  <si>
    <t xml:space="preserve">Deleted header logo and updated footer setup with correct logos to align with the current Aurecon excel template (macros to change the logos were modified). Standard Aurecon tables from the Aurecon excel template were added to the table styles menu such that users can select standard tables using the 'Format as Table' menu. </t>
  </si>
  <si>
    <t>The logo cannot be seen unless in 'Page Layout' view as the logo is within the footer (note: the logo will still be printed regardless of the page view).</t>
  </si>
  <si>
    <t>When selecting a standard table from the 'Format as Table' menu, the column widths of the table may need to be adjusted such that the sheet does not run over onto the next page. This can be done by selecting the columns, right clicking and selecting 'Column Width' from the menu. Standard column width is 1.4cm.</t>
  </si>
  <si>
    <t>R Woollard</t>
  </si>
  <si>
    <t>Updated so any new sheet or on print all sheets get the header boxes installed. Should help with copying sheets in, and with converting existing files onto the template.
Also added some subs and functions to the VBA code of some custom functions and easy ways to name ranges.</t>
  </si>
  <si>
    <t>Footer margin: 0.8cm (Aurecon green line located in a footer picture)</t>
  </si>
  <si>
    <t>Custom functions / subs available for user</t>
  </si>
  <si>
    <t>=SecProp([xytable],Optional [number 1 to 14])</t>
  </si>
  <si>
    <t>[xytable]</t>
  </si>
  <si>
    <t>A range of cells with x and y coordinates in two columns, defining a shape</t>
  </si>
  <si>
    <t>[number]</t>
  </si>
  <si>
    <t>Property</t>
  </si>
  <si>
    <t>Area</t>
  </si>
  <si>
    <r>
      <t>A</t>
    </r>
    <r>
      <rPr>
        <vertAlign val="subscript"/>
        <sz val="8"/>
        <rFont val="Arial"/>
        <family val="2"/>
      </rPr>
      <t>x</t>
    </r>
  </si>
  <si>
    <r>
      <t>A</t>
    </r>
    <r>
      <rPr>
        <vertAlign val="subscript"/>
        <sz val="8"/>
        <rFont val="Arial"/>
        <family val="2"/>
      </rPr>
      <t>y</t>
    </r>
  </si>
  <si>
    <r>
      <t>I</t>
    </r>
    <r>
      <rPr>
        <vertAlign val="subscript"/>
        <sz val="8"/>
        <rFont val="Arial"/>
        <family val="2"/>
      </rPr>
      <t>xo</t>
    </r>
  </si>
  <si>
    <t>Moment of inertia about origin, x-axis</t>
  </si>
  <si>
    <r>
      <t>I</t>
    </r>
    <r>
      <rPr>
        <vertAlign val="subscript"/>
        <sz val="8"/>
        <rFont val="Arial"/>
        <family val="2"/>
      </rPr>
      <t>yo</t>
    </r>
  </si>
  <si>
    <t>Moment of inertia about origin, y-axis</t>
  </si>
  <si>
    <r>
      <t>I</t>
    </r>
    <r>
      <rPr>
        <vertAlign val="subscript"/>
        <sz val="8"/>
        <rFont val="Arial"/>
        <family val="2"/>
      </rPr>
      <t>xyo</t>
    </r>
  </si>
  <si>
    <t>Moment of inertia about origin, x-y-axis</t>
  </si>
  <si>
    <r>
      <t>x</t>
    </r>
    <r>
      <rPr>
        <vertAlign val="subscript"/>
        <sz val="8"/>
        <rFont val="Arial"/>
        <family val="2"/>
      </rPr>
      <t>bar</t>
    </r>
  </si>
  <si>
    <r>
      <t>y</t>
    </r>
    <r>
      <rPr>
        <vertAlign val="subscript"/>
        <sz val="8"/>
        <rFont val="Arial"/>
        <family val="2"/>
      </rPr>
      <t>bar</t>
    </r>
  </si>
  <si>
    <r>
      <t>I</t>
    </r>
    <r>
      <rPr>
        <vertAlign val="subscript"/>
        <sz val="8"/>
        <rFont val="Arial"/>
        <family val="2"/>
      </rPr>
      <t>xc</t>
    </r>
  </si>
  <si>
    <t>Moment of inertia about centroid, x-axis</t>
  </si>
  <si>
    <r>
      <t>I</t>
    </r>
    <r>
      <rPr>
        <vertAlign val="subscript"/>
        <sz val="8"/>
        <rFont val="Arial"/>
        <family val="2"/>
      </rPr>
      <t>yc</t>
    </r>
  </si>
  <si>
    <t>Moment of inertia about centroid, y-axis</t>
  </si>
  <si>
    <r>
      <t>I</t>
    </r>
    <r>
      <rPr>
        <vertAlign val="subscript"/>
        <sz val="8"/>
        <rFont val="Arial"/>
        <family val="2"/>
      </rPr>
      <t>xyc</t>
    </r>
  </si>
  <si>
    <t>Moment of inertia about centroid, x-y-axis</t>
  </si>
  <si>
    <r>
      <t>I</t>
    </r>
    <r>
      <rPr>
        <vertAlign val="subscript"/>
        <sz val="8"/>
        <rFont val="Arial"/>
        <family val="2"/>
      </rPr>
      <t>u</t>
    </r>
  </si>
  <si>
    <t>Moment of inertia about major principal axis</t>
  </si>
  <si>
    <r>
      <t>I</t>
    </r>
    <r>
      <rPr>
        <vertAlign val="subscript"/>
        <sz val="8"/>
        <rFont val="Arial"/>
        <family val="2"/>
      </rPr>
      <t>v</t>
    </r>
  </si>
  <si>
    <t>Moment of inertia about minor principal axis</t>
  </si>
  <si>
    <t>Theta</t>
  </si>
  <si>
    <t>Angle of major principal axis from x-axis</t>
  </si>
  <si>
    <t>=Interpolate([xknown],[xrange],[yrange],[interptype])</t>
  </si>
  <si>
    <t>[interptype]</t>
  </si>
  <si>
    <r>
      <t xml:space="preserve">Optional argument to control how to respond to </t>
    </r>
    <r>
      <rPr>
        <i/>
        <sz val="8"/>
        <rFont val="Arial"/>
        <family val="2"/>
      </rPr>
      <t>xknown</t>
    </r>
    <r>
      <rPr>
        <sz val="8"/>
        <rFont val="Arial"/>
        <family val="2"/>
      </rPr>
      <t xml:space="preserve"> values outside the </t>
    </r>
    <r>
      <rPr>
        <i/>
        <sz val="8"/>
        <rFont val="Arial"/>
        <family val="2"/>
      </rPr>
      <t>xrange</t>
    </r>
    <r>
      <rPr>
        <sz val="8"/>
        <rFont val="Arial"/>
        <family val="2"/>
      </rPr>
      <t>, per below:</t>
    </r>
  </si>
  <si>
    <t>Returns an error (default)</t>
  </si>
  <si>
    <t>extrapolates based on last two X-Y pairs (either two highest or two lowest)</t>
  </si>
  <si>
    <t>extrapolates based on first and last X-Y pair (full range of supplied values)</t>
  </si>
  <si>
    <t>extrapolates based on first or last X-Y pair and the origin (0-0)</t>
  </si>
  <si>
    <t>=srss([x],[y],Optional [z])</t>
  </si>
  <si>
    <t>Returns square root of sum of squares for 2 to 3 input values</t>
  </si>
  <si>
    <t>Macro "NameandSubscript"</t>
  </si>
  <si>
    <t>NOTE: do not use any punctuation characters other than those allowed for named ranges (i.e. &amp;, % etc.), or an error will occur!</t>
  </si>
  <si>
    <t>Text input into cell</t>
  </si>
  <si>
    <t>Text and named range after macro</t>
  </si>
  <si>
    <t>Macro run on boxed cells</t>
  </si>
  <si>
    <t>N.c</t>
  </si>
  <si>
    <r>
      <t>N</t>
    </r>
    <r>
      <rPr>
        <vertAlign val="subscript"/>
        <sz val="8"/>
        <rFont val="Arial"/>
        <family val="2"/>
      </rPr>
      <t>c</t>
    </r>
  </si>
  <si>
    <t>φA.st</t>
  </si>
  <si>
    <r>
      <t>φA</t>
    </r>
    <r>
      <rPr>
        <vertAlign val="subscript"/>
        <sz val="8"/>
        <rFont val="Arial"/>
        <family val="2"/>
      </rPr>
      <t>st</t>
    </r>
  </si>
  <si>
    <t>Text.ex</t>
  </si>
  <si>
    <r>
      <t>Text</t>
    </r>
    <r>
      <rPr>
        <vertAlign val="subscript"/>
        <sz val="8"/>
        <rFont val="Arial"/>
        <family val="2"/>
      </rPr>
      <t>ex</t>
    </r>
  </si>
  <si>
    <t>NoDotsOK</t>
  </si>
  <si>
    <t>For example</t>
  </si>
  <si>
    <t>ProjectWise-ified.. Instructions sheet re-named to Document Control. Minor modifications to re-named Document Control sheet.</t>
  </si>
  <si>
    <t>Title:</t>
  </si>
  <si>
    <t>Additional revision details (if required)</t>
  </si>
  <si>
    <t>Rev</t>
  </si>
  <si>
    <t>Current revision</t>
  </si>
  <si>
    <t>Calculates section properties for a x-y range. Can be used EITHER, enter as array formula and all the below will be returned, or select a particular property desired by using the optional [number] input</t>
  </si>
  <si>
    <r>
      <t xml:space="preserve">Returns interpolated value of </t>
    </r>
    <r>
      <rPr>
        <i/>
        <sz val="8"/>
        <rFont val="Arial"/>
        <family val="2"/>
      </rPr>
      <t>y</t>
    </r>
    <r>
      <rPr>
        <sz val="8"/>
        <rFont val="Arial"/>
        <family val="2"/>
      </rPr>
      <t xml:space="preserve"> for supplied </t>
    </r>
    <r>
      <rPr>
        <i/>
        <sz val="8"/>
        <rFont val="Arial"/>
        <family val="2"/>
      </rPr>
      <t>xknown</t>
    </r>
    <r>
      <rPr>
        <sz val="8"/>
        <rFont val="Arial"/>
        <family val="2"/>
      </rPr>
      <t xml:space="preserve"> based on interpolation between two most relevant points out of the </t>
    </r>
    <r>
      <rPr>
        <i/>
        <sz val="8"/>
        <rFont val="Arial"/>
        <family val="2"/>
      </rPr>
      <t>xrange</t>
    </r>
    <r>
      <rPr>
        <sz val="8"/>
        <rFont val="Arial"/>
        <family val="2"/>
      </rPr>
      <t xml:space="preserve"> and </t>
    </r>
    <r>
      <rPr>
        <i/>
        <sz val="8"/>
        <rFont val="Arial"/>
        <family val="2"/>
      </rPr>
      <t>yrange. This is an improvement on the Excel Forecast or similar, which simply work on a line of best fit through the data, by interpolating within non-linear. data. Note that xrange must be in ascending order.</t>
    </r>
  </si>
  <si>
    <r>
      <t xml:space="preserve">This macro will run through selected column of cells, create a </t>
    </r>
    <r>
      <rPr>
        <i/>
        <sz val="8"/>
        <rFont val="Arial"/>
        <family val="2"/>
      </rPr>
      <t>named range</t>
    </r>
    <r>
      <rPr>
        <sz val="8"/>
        <rFont val="Arial"/>
        <family val="2"/>
      </rPr>
      <t xml:space="preserve"> to the right of each populated cell using the populated cell's text, and then make any text to the right of a '.' character in the selected cells into subscript and right alings. Some examples are below to explain. This is intended to make formatting the spreadsheet (in conjunction with use of styles) in a clear and legible way easy and quick.</t>
    </r>
  </si>
  <si>
    <t>Have you made any assumptions?
Describe assumptions made where textbooks or codes are not specific, or where there could be debate about the method used.</t>
  </si>
  <si>
    <t xml:space="preserve">What doesn't the spreadsheet do?
Describe the limitations of the spreadsheet, including both mathematical and code limits, where applicable.
</t>
  </si>
  <si>
    <t>Provide a list of codes, papers, text books, etc. used in the method / formulae presented in the spreadsheet.</t>
  </si>
  <si>
    <t>Space for a list of and reference for the symbols and definitions used, e.g. AS3600.</t>
  </si>
  <si>
    <t>Input cells are black text on pale green background and are the only unlocked cells by default - use "Styles"</t>
  </si>
  <si>
    <t>Intermediate output cells are black text on a white background and are locked</t>
  </si>
  <si>
    <t>Key output cells are black bold text on dark green background and are also locked</t>
  </si>
  <si>
    <t>REPLACE THIS TEXT WITH SPREADSHEET-RELEVANT DESCRIPTION
This is a template for consistent, neat calculations to be created. Note the sheets are all Protected by default, however with no password. The intention is to prevent accidental deletion / loss of formulae, not to limit your power.
To unlock, just click Review -&gt; Unprotect Sheet (or ALT-T, P, P). To format sheets, use the Styles feature. They'll create a consistent look, as well as automatically locking all cells except those marked as Inputs to help avoid accidental errors later.</t>
  </si>
  <si>
    <t>PW errors / updates as requested by Mark Brand</t>
  </si>
  <si>
    <t>PW Version:</t>
  </si>
  <si>
    <t>Known issues with current version (v1.7)</t>
  </si>
  <si>
    <t>Title text box stretched to avoid truncating titles.</t>
  </si>
  <si>
    <t>Template version 1.8</t>
  </si>
  <si>
    <t>Aurecon calcuations / spreadsheet template</t>
  </si>
  <si>
    <t>Doc code:</t>
  </si>
  <si>
    <t>XX</t>
  </si>
  <si>
    <t>For additional revision / tracking history refer PW attributes / comments</t>
  </si>
  <si>
    <t>SBA</t>
  </si>
  <si>
    <t xml:space="preserve">TCL-MCR </t>
  </si>
  <si>
    <t>Structural Pit Calculation</t>
  </si>
  <si>
    <t>Introduction</t>
  </si>
  <si>
    <t>Load Consideration</t>
  </si>
  <si>
    <t>The main horizontal loads that are subjected to the drainage pits are:</t>
  </si>
  <si>
    <t>1.) Soil Surcharge</t>
  </si>
  <si>
    <t>2.) Water pressure due to groundwater level</t>
  </si>
  <si>
    <t>3.) Track load within the influence line if applicable</t>
  </si>
  <si>
    <t>4.) Surcharge from adjacent structure if applicable</t>
  </si>
  <si>
    <t>All drainage pits within Rail load influence must be designed as structural pits with 120 years design life, following AS 5100 standards.</t>
  </si>
  <si>
    <t xml:space="preserve">In determining the optimal pit type, whether rectangular or circular, consideration will be given to the proposed location, site constraints, </t>
  </si>
  <si>
    <t>and buildability. The selection process will adhere to rigorous standards of assessment to ensure that the chosen pit type is suitable for</t>
  </si>
  <si>
    <t xml:space="preserve">the project's objectives. </t>
  </si>
  <si>
    <t>+</t>
  </si>
  <si>
    <t>Analysis &amp; Design Methodology</t>
  </si>
  <si>
    <t xml:space="preserve">In designing the pit's wall, a 1-meter width strip of the wall shall be considered under a simply supported condition. </t>
  </si>
  <si>
    <t xml:space="preserve">The wall shall be designed to withstand the forces and stresses that may act upon it during its intended use. </t>
  </si>
  <si>
    <t>It is imperative that the design is in compliance with the relevant safety standards and regulations.</t>
  </si>
  <si>
    <t>Density of soil</t>
  </si>
  <si>
    <t>Angle of friction</t>
  </si>
  <si>
    <t>degree</t>
  </si>
  <si>
    <t>Height of the wall (m)</t>
  </si>
  <si>
    <t>Coefficient of active earth pressure (Ka)</t>
  </si>
  <si>
    <t>Soil load:</t>
  </si>
  <si>
    <t xml:space="preserve">Surcharge loads from rail traffic </t>
  </si>
  <si>
    <t>Clause 14.3 AS 5100.2</t>
  </si>
  <si>
    <t>TABLE 14.3 AS5100.2</t>
  </si>
  <si>
    <t>Verticle pressure</t>
  </si>
  <si>
    <t>kPa</t>
  </si>
  <si>
    <t>Distance from pit's bottom to influence line</t>
  </si>
  <si>
    <t>Surcharge from Adjacent Structure</t>
  </si>
  <si>
    <t>Surcharge Intensity</t>
  </si>
  <si>
    <t>Horizontal Load</t>
  </si>
  <si>
    <t>Water Pressure</t>
  </si>
  <si>
    <t>Density of water</t>
  </si>
  <si>
    <t>Water load</t>
  </si>
  <si>
    <t>Loads</t>
  </si>
  <si>
    <t>lever arm</t>
  </si>
  <si>
    <t>ULS (5100.2 TABLE D3)</t>
  </si>
  <si>
    <t>Soil</t>
  </si>
  <si>
    <t>Rail</t>
  </si>
  <si>
    <t>Water</t>
  </si>
  <si>
    <t>Surcharge Adjacent Structure</t>
  </si>
  <si>
    <t>Total</t>
  </si>
  <si>
    <t>STRUCTURAL DESIGN</t>
  </si>
  <si>
    <t>Exposure classification</t>
  </si>
  <si>
    <t>B1</t>
  </si>
  <si>
    <t>AS 3600 TABLE 4.3</t>
  </si>
  <si>
    <t>Determine the value of k.</t>
  </si>
  <si>
    <t xml:space="preserve"> </t>
  </si>
  <si>
    <t>MPa</t>
  </si>
  <si>
    <r>
      <t xml:space="preserve"> As k </t>
    </r>
    <r>
      <rPr>
        <sz val="10"/>
        <rFont val="Calibri"/>
        <family val="2"/>
      </rPr>
      <t xml:space="preserve">≤ 0.36, no compression reinforcement is required AS per AS 3600 CL </t>
    </r>
    <r>
      <rPr>
        <sz val="10"/>
        <rFont val="Calibri"/>
        <family val="2"/>
        <scheme val="minor"/>
      </rPr>
      <t>8.1.5.</t>
    </r>
  </si>
  <si>
    <t>Determine lever arm, (z)</t>
  </si>
  <si>
    <t xml:space="preserve">b = </t>
  </si>
  <si>
    <t xml:space="preserve">Z = 0.87*d </t>
  </si>
  <si>
    <t>width =</t>
  </si>
  <si>
    <t xml:space="preserve">cover = </t>
  </si>
  <si>
    <t>AS 3600 Table 4.10.3.2</t>
  </si>
  <si>
    <t>Area of tension reinforcement required .</t>
  </si>
  <si>
    <r>
      <t xml:space="preserve">extra cover </t>
    </r>
    <r>
      <rPr>
        <sz val="10"/>
        <color theme="1"/>
        <rFont val="Calibri"/>
        <family val="2"/>
      </rPr>
      <t>ΔC</t>
    </r>
    <r>
      <rPr>
        <sz val="8"/>
        <rFont val="Arial"/>
        <family val="2"/>
      </rPr>
      <t xml:space="preserve"> =</t>
    </r>
  </si>
  <si>
    <t>Total cover =</t>
  </si>
  <si>
    <t>d=</t>
  </si>
  <si>
    <t>γ</t>
  </si>
  <si>
    <t>AS 3600 CL 8.1.3</t>
  </si>
  <si>
    <t>Capacity Check</t>
  </si>
  <si>
    <t xml:space="preserve">effective depth = </t>
  </si>
  <si>
    <t>α</t>
  </si>
  <si>
    <r>
      <t>Reduction factor (</t>
    </r>
    <r>
      <rPr>
        <sz val="10"/>
        <color theme="1"/>
        <rFont val="Calibri"/>
        <family val="2"/>
      </rPr>
      <t>Ø</t>
    </r>
    <r>
      <rPr>
        <sz val="9.8000000000000007"/>
        <color theme="1"/>
        <rFont val="Calibri"/>
        <family val="2"/>
      </rPr>
      <t>)</t>
    </r>
  </si>
  <si>
    <t>PIT Design</t>
  </si>
  <si>
    <r>
      <t>kN/m</t>
    </r>
    <r>
      <rPr>
        <vertAlign val="superscript"/>
        <sz val="8"/>
        <rFont val="Arial"/>
        <family val="2"/>
      </rPr>
      <t>3</t>
    </r>
  </si>
  <si>
    <t>x, Length from track C/L</t>
  </si>
  <si>
    <t>d, Depth below sleeper</t>
  </si>
  <si>
    <t>Depth of the liner</t>
  </si>
  <si>
    <t>based on 200LA</t>
  </si>
  <si>
    <t>kN per meter</t>
  </si>
  <si>
    <t>Bending moment kNm/m</t>
  </si>
  <si>
    <t>Shear force kN/m</t>
  </si>
  <si>
    <t>Critical ULS bending moment</t>
  </si>
  <si>
    <t>kNm/m</t>
  </si>
  <si>
    <t>Ultimate Strength</t>
  </si>
  <si>
    <t>kN/m</t>
  </si>
  <si>
    <t>Critical ULS force</t>
  </si>
  <si>
    <t>Propposed Class 4 liner diameter</t>
  </si>
  <si>
    <t>Utilisation ratio</t>
  </si>
  <si>
    <t>Based on Humes Catalogue</t>
  </si>
  <si>
    <t>Critical ULS Shear Force</t>
  </si>
  <si>
    <t xml:space="preserve">M* = </t>
  </si>
  <si>
    <r>
      <t>f</t>
    </r>
    <r>
      <rPr>
        <vertAlign val="subscript"/>
        <sz val="8"/>
        <rFont val="Arial"/>
        <family val="2"/>
      </rPr>
      <t>sy</t>
    </r>
  </si>
  <si>
    <r>
      <t>f'</t>
    </r>
    <r>
      <rPr>
        <vertAlign val="subscript"/>
        <sz val="8"/>
        <rFont val="Arial"/>
        <family val="2"/>
      </rPr>
      <t>c</t>
    </r>
  </si>
  <si>
    <t>Reinforcement=</t>
  </si>
  <si>
    <t xml:space="preserve">at </t>
  </si>
  <si>
    <t>Spacing</t>
  </si>
  <si>
    <r>
      <t>mm</t>
    </r>
    <r>
      <rPr>
        <vertAlign val="superscript"/>
        <sz val="10"/>
        <rFont val="Calibri"/>
        <family val="2"/>
        <scheme val="minor"/>
      </rPr>
      <t>2</t>
    </r>
    <r>
      <rPr>
        <sz val="10"/>
        <rFont val="Calibri"/>
        <family val="2"/>
        <scheme val="minor"/>
      </rPr>
      <t>/m</t>
    </r>
  </si>
  <si>
    <t>Check area of reinforcement provided using the assumed reinforcement.</t>
  </si>
  <si>
    <t>MCR 1.2m Liner Depth, Rectangular Pit TC2476U</t>
  </si>
  <si>
    <t>`</t>
  </si>
  <si>
    <t>MCR 1.8m Liner Depth, 1.2m Diameter TS9070U</t>
  </si>
  <si>
    <t>MCR 1.8m Liner Depth, Rectangular Pit TC580D</t>
  </si>
  <si>
    <t>MCR 1.2m Liner Depth, 1.2m Diameter TS5088D</t>
  </si>
  <si>
    <t>MCR 2.1m Liner Depth, Rectangular Pit TC2476U</t>
  </si>
  <si>
    <t>Propposed Class 2 liner diameter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</si>
</sst>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d/mm/yy;@"/>
    <numFmt numFmtId="165" formatCode="0.0"/>
    <numFmt numFmtId="166" formatCode="0.000"/>
  </numFmts>
  <fonts count="60" x14ac:knownFonts="1">
    <font>
      <sz val="8"/>
      <name val="Arial"/>
      <family val="2"/>
    </font>
    <font>
      <sz val="10"/>
      <color theme="1"/>
      <name val="Calibri"/>
      <family val="2"/>
      <scheme val="minor"/>
    </font>
    <font>
      <sz val="11"/>
      <color theme="1"/>
      <name val="Calibri"/>
      <family val="2"/>
      <scheme val="minor"/>
    </font>
    <font>
      <sz val="10"/>
      <name val="Arial Narrow"/>
      <family val="2"/>
    </font>
    <font>
      <u/>
      <sz val="10"/>
      <color indexed="12"/>
      <name val="Arial"/>
      <family val="2"/>
    </font>
    <font>
      <b/>
      <sz val="10"/>
      <name val="Arial"/>
      <family val="2"/>
    </font>
    <font>
      <sz val="10"/>
      <name val="Arial"/>
      <family val="2"/>
    </font>
    <font>
      <sz val="8"/>
      <name val="Arial Narrow"/>
      <family val="2"/>
    </font>
    <font>
      <sz val="8"/>
      <name val="Arial Narrow"/>
      <family val="2"/>
    </font>
    <font>
      <sz val="10"/>
      <name val="Arial Narrow"/>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b/>
      <sz val="9"/>
      <color indexed="81"/>
      <name val="Tahoma"/>
      <family val="2"/>
    </font>
    <font>
      <vertAlign val="subscript"/>
      <sz val="10"/>
      <name val="Arial"/>
      <family val="2"/>
    </font>
    <font>
      <vertAlign val="superscript"/>
      <sz val="10"/>
      <name val="Arial"/>
      <family val="2"/>
    </font>
    <font>
      <sz val="10"/>
      <name val="Symbol"/>
      <family val="1"/>
      <charset val="2"/>
    </font>
    <font>
      <b/>
      <sz val="14"/>
      <name val="Arial"/>
      <family val="2"/>
    </font>
    <font>
      <vertAlign val="subscript"/>
      <sz val="8"/>
      <name val="Arial"/>
      <family val="2"/>
    </font>
    <font>
      <sz val="8"/>
      <name val="Arial"/>
      <family val="2"/>
    </font>
    <font>
      <b/>
      <sz val="11"/>
      <color theme="0"/>
      <name val="Arial"/>
      <family val="2"/>
    </font>
    <font>
      <b/>
      <sz val="8"/>
      <name val="Arial"/>
      <family val="2"/>
    </font>
    <font>
      <b/>
      <sz val="12"/>
      <name val="Arial"/>
      <family val="2"/>
    </font>
    <font>
      <i/>
      <sz val="8"/>
      <name val="Arial"/>
      <family val="2"/>
    </font>
    <font>
      <sz val="8"/>
      <name val="Symbol"/>
      <family val="1"/>
      <charset val="2"/>
    </font>
    <font>
      <sz val="8"/>
      <color rgb="FF7AB800"/>
      <name val="Arial"/>
      <family val="2"/>
    </font>
    <font>
      <sz val="11"/>
      <color rgb="FF006100"/>
      <name val="Calibri"/>
      <family val="2"/>
      <scheme val="minor"/>
    </font>
    <font>
      <sz val="11"/>
      <color rgb="FF9C0006"/>
      <name val="Calibri"/>
      <family val="2"/>
      <scheme val="minor"/>
    </font>
    <font>
      <sz val="11"/>
      <color rgb="FF9C6500"/>
      <name val="Calibri"/>
      <family val="2"/>
      <scheme val="minor"/>
    </font>
    <font>
      <sz val="10"/>
      <color theme="0" tint="-0.249977111117893"/>
      <name val="Arial"/>
      <family val="2"/>
    </font>
    <font>
      <sz val="8"/>
      <color theme="0" tint="-0.249977111117893"/>
      <name val="Arial Narrow"/>
      <family val="2"/>
    </font>
    <font>
      <sz val="11"/>
      <color rgb="FFFF0000"/>
      <name val="Calibri"/>
      <family val="2"/>
      <scheme val="minor"/>
    </font>
    <font>
      <sz val="8"/>
      <color rgb="FFFF0000"/>
      <name val="Arial"/>
      <family val="2"/>
    </font>
    <font>
      <sz val="10"/>
      <color rgb="FF000000"/>
      <name val="Arial"/>
      <family val="2"/>
    </font>
    <font>
      <u/>
      <sz val="10"/>
      <color rgb="FF7AB800"/>
      <name val="Arial"/>
      <family val="2"/>
    </font>
    <font>
      <u/>
      <sz val="8"/>
      <color rgb="FF7AB800"/>
      <name val="Arial"/>
      <family val="2"/>
    </font>
    <font>
      <sz val="7"/>
      <name val="Arial"/>
      <family val="2"/>
    </font>
    <font>
      <u/>
      <sz val="10"/>
      <color theme="4"/>
      <name val="Arial"/>
      <family val="2"/>
    </font>
    <font>
      <sz val="8"/>
      <color theme="1"/>
      <name val="Arial"/>
      <family val="2"/>
    </font>
    <font>
      <sz val="10"/>
      <name val="Calibri"/>
      <family val="2"/>
      <scheme val="minor"/>
    </font>
    <font>
      <b/>
      <u/>
      <sz val="10"/>
      <name val="Calibri"/>
      <family val="2"/>
      <scheme val="minor"/>
    </font>
    <font>
      <b/>
      <sz val="10"/>
      <name val="Calibri"/>
      <family val="2"/>
      <scheme val="minor"/>
    </font>
    <font>
      <b/>
      <sz val="10"/>
      <color theme="1"/>
      <name val="Calibri"/>
      <family val="2"/>
      <scheme val="minor"/>
    </font>
    <font>
      <b/>
      <u/>
      <sz val="10"/>
      <color theme="1"/>
      <name val="Calibri"/>
      <family val="2"/>
      <scheme val="minor"/>
    </font>
    <font>
      <sz val="10"/>
      <color theme="4"/>
      <name val="Calibri"/>
      <family val="2"/>
      <scheme val="minor"/>
    </font>
    <font>
      <sz val="10"/>
      <name val="Calibri"/>
      <family val="2"/>
    </font>
    <font>
      <sz val="10"/>
      <color theme="1"/>
      <name val="Calibri"/>
      <family val="2"/>
    </font>
    <font>
      <sz val="10"/>
      <color rgb="FF9C0006"/>
      <name val="Calibri"/>
      <family val="2"/>
      <scheme val="minor"/>
    </font>
    <font>
      <sz val="9.8000000000000007"/>
      <color theme="1"/>
      <name val="Calibri"/>
      <family val="2"/>
    </font>
    <font>
      <sz val="11"/>
      <color theme="1"/>
      <name val="Calibri"/>
      <family val="2"/>
    </font>
    <font>
      <vertAlign val="superscript"/>
      <sz val="8"/>
      <name val="Arial"/>
      <family val="2"/>
    </font>
    <font>
      <b/>
      <sz val="9"/>
      <name val="Arial"/>
      <family val="2"/>
    </font>
    <font>
      <vertAlign val="superscript"/>
      <sz val="10"/>
      <name val="Calibri"/>
      <family val="2"/>
      <scheme val="minor"/>
    </font>
    <font>
      <sz val="9"/>
      <color indexed="81"/>
      <name val="Tahoma"/>
      <family val="2"/>
    </font>
  </fonts>
  <fills count="18">
    <fill>
      <patternFill patternType="none"/>
    </fill>
    <fill>
      <patternFill patternType="gray125"/>
    </fill>
    <fill>
      <patternFill patternType="solid">
        <fgColor rgb="FFF2F2F2"/>
      </patternFill>
    </fill>
    <fill>
      <patternFill patternType="solid">
        <fgColor rgb="FFA5A5A5"/>
      </patternFill>
    </fill>
    <fill>
      <patternFill patternType="solid">
        <fgColor rgb="FFFFFFCC"/>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353D30"/>
        <bgColor indexed="64"/>
      </patternFill>
    </fill>
    <fill>
      <patternFill patternType="solid">
        <fgColor rgb="FFF1F8E5"/>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rgb="FFDCEFBC"/>
        <bgColor theme="2" tint="-0.24994659260841701"/>
      </patternFill>
    </fill>
    <fill>
      <patternFill patternType="solid">
        <fgColor rgb="FFF1F8E5"/>
        <bgColor theme="0" tint="-0.24994659260841701"/>
      </patternFill>
    </fill>
    <fill>
      <patternFill patternType="solid">
        <fgColor theme="4"/>
        <bgColor indexed="64"/>
      </patternFill>
    </fill>
    <fill>
      <patternFill patternType="solid">
        <fgColor theme="5" tint="0.79998168889431442"/>
        <bgColor indexed="64"/>
      </patternFill>
    </fill>
    <fill>
      <patternFill patternType="solid">
        <fgColor rgb="FFFFFF0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9B9B9B"/>
      </left>
      <right style="thin">
        <color rgb="FF9B9B9B"/>
      </right>
      <top style="thin">
        <color rgb="FF9B9B9B"/>
      </top>
      <bottom style="thin">
        <color rgb="FF9B9B9B"/>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B9B9B"/>
      </left>
      <right/>
      <top style="thin">
        <color rgb="FF9B9B9B"/>
      </top>
      <bottom style="thin">
        <color rgb="FF9B9B9B"/>
      </bottom>
      <diagonal/>
    </border>
    <border>
      <left/>
      <right/>
      <top style="thin">
        <color rgb="FF9B9B9B"/>
      </top>
      <bottom style="thin">
        <color rgb="FF9B9B9B"/>
      </bottom>
      <diagonal/>
    </border>
    <border>
      <left/>
      <right style="thin">
        <color rgb="FF9B9B9B"/>
      </right>
      <top style="thin">
        <color rgb="FF9B9B9B"/>
      </top>
      <bottom style="thin">
        <color rgb="FF9B9B9B"/>
      </bottom>
      <diagonal/>
    </border>
    <border>
      <left style="thin">
        <color rgb="FF9B9B9B"/>
      </left>
      <right/>
      <top style="thin">
        <color rgb="FF9B9B9B"/>
      </top>
      <bottom/>
      <diagonal/>
    </border>
    <border>
      <left/>
      <right/>
      <top style="thin">
        <color rgb="FF9B9B9B"/>
      </top>
      <bottom/>
      <diagonal/>
    </border>
    <border>
      <left/>
      <right/>
      <top style="thin">
        <color auto="1"/>
      </top>
      <bottom/>
      <diagonal/>
    </border>
    <border>
      <left/>
      <right/>
      <top/>
      <bottom style="thin">
        <color auto="1"/>
      </bottom>
      <diagonal/>
    </border>
    <border>
      <left style="thin">
        <color auto="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rgb="FF9B9B9B"/>
      </left>
      <right style="thin">
        <color rgb="FF9B9B9B"/>
      </right>
      <top style="thin">
        <color rgb="FF9B9B9B"/>
      </top>
      <bottom/>
      <diagonal/>
    </border>
    <border>
      <left style="thin">
        <color rgb="FF9B9B9B"/>
      </left>
      <right style="thin">
        <color rgb="FF9B9B9B"/>
      </right>
      <top/>
      <bottom style="thin">
        <color rgb="FF9B9B9B"/>
      </bottom>
      <diagonal/>
    </border>
    <border>
      <left/>
      <right style="thin">
        <color rgb="FF9B9B9B"/>
      </right>
      <top style="thin">
        <color rgb="FF9B9B9B"/>
      </top>
      <bottom/>
      <diagonal/>
    </border>
    <border>
      <left style="thin">
        <color rgb="FF9B9B9B"/>
      </left>
      <right/>
      <top/>
      <bottom style="thin">
        <color rgb="FF9B9B9B"/>
      </bottom>
      <diagonal/>
    </border>
    <border>
      <left/>
      <right/>
      <top/>
      <bottom style="thin">
        <color rgb="FF9B9B9B"/>
      </bottom>
      <diagonal/>
    </border>
    <border>
      <left/>
      <right style="thin">
        <color rgb="FF9B9B9B"/>
      </right>
      <top/>
      <bottom style="thin">
        <color rgb="FF9B9B9B"/>
      </bottom>
      <diagonal/>
    </border>
    <border>
      <left style="thin">
        <color rgb="FF9B9B9B"/>
      </left>
      <right style="thin">
        <color rgb="FF9B9B9B"/>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9B9B9B"/>
      </left>
      <right/>
      <top/>
      <bottom/>
      <diagonal/>
    </border>
  </borders>
  <cellStyleXfs count="48">
    <xf numFmtId="0" fontId="0" fillId="0" borderId="0" applyNumberFormat="0" applyBorder="0">
      <alignment vertical="center"/>
    </xf>
    <xf numFmtId="0" fontId="43" fillId="0" borderId="0" applyNumberFormat="0" applyFill="0" applyBorder="0" applyAlignment="0">
      <alignment vertical="top"/>
    </xf>
    <xf numFmtId="0" fontId="25" fillId="13" borderId="1" applyNumberFormat="0" applyAlignment="0">
      <protection locked="0"/>
    </xf>
    <xf numFmtId="0" fontId="27" fillId="15" borderId="1" applyNumberFormat="0" applyAlignment="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2" borderId="9" applyNumberFormat="0" applyAlignment="0" applyProtection="0"/>
    <xf numFmtId="0" fontId="15" fillId="0" borderId="10" applyNumberFormat="0" applyFill="0" applyAlignment="0" applyProtection="0"/>
    <xf numFmtId="0" fontId="16" fillId="3" borderId="11" applyNumberFormat="0" applyAlignment="0" applyProtection="0"/>
    <xf numFmtId="0" fontId="9" fillId="4" borderId="12" applyNumberFormat="0" applyFont="0" applyAlignment="0" applyProtection="0"/>
    <xf numFmtId="0" fontId="17" fillId="0" borderId="0" applyNumberFormat="0" applyFill="0" applyBorder="0" applyAlignment="0" applyProtection="0"/>
    <xf numFmtId="0" fontId="18" fillId="0" borderId="13" applyNumberFormat="0" applyFont="0" applyFill="0" applyAlignment="0" applyProtection="0"/>
    <xf numFmtId="0" fontId="5" fillId="14" borderId="0" applyNumberFormat="0">
      <alignment horizontal="left" vertical="center"/>
    </xf>
    <xf numFmtId="0" fontId="26" fillId="9" borderId="0" applyNumberFormat="0">
      <alignment vertical="center"/>
    </xf>
    <xf numFmtId="0" fontId="27" fillId="0" borderId="0" applyNumberFormat="0" applyBorder="0" applyAlignment="0"/>
    <xf numFmtId="0" fontId="25" fillId="0" borderId="1" applyNumberFormat="0" applyAlignment="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0" fontId="32" fillId="6" borderId="0" applyNumberFormat="0" applyBorder="0" applyAlignment="0" applyProtection="0"/>
    <xf numFmtId="0" fontId="33" fillId="7" borderId="0" applyNumberFormat="0" applyBorder="0" applyAlignment="0" applyProtection="0"/>
    <xf numFmtId="0" fontId="34" fillId="8" borderId="0" applyNumberFormat="0" applyBorder="0" applyAlignment="0" applyProtection="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32" fillId="6" borderId="0" applyNumberFormat="0" applyBorder="0" applyAlignment="0" applyProtection="0"/>
    <xf numFmtId="0" fontId="33" fillId="7" borderId="0" applyNumberFormat="0" applyBorder="0" applyAlignment="0" applyProtection="0"/>
    <xf numFmtId="0" fontId="34" fillId="8" borderId="0" applyNumberFormat="0" applyBorder="0" applyAlignment="0" applyProtection="0"/>
    <xf numFmtId="0" fontId="14" fillId="2" borderId="9" applyNumberFormat="0" applyAlignment="0" applyProtection="0"/>
    <xf numFmtId="0" fontId="15" fillId="0" borderId="10" applyNumberFormat="0" applyFill="0" applyAlignment="0" applyProtection="0"/>
    <xf numFmtId="0" fontId="16" fillId="3" borderId="11" applyNumberFormat="0" applyAlignment="0" applyProtection="0"/>
    <xf numFmtId="0" fontId="17" fillId="0" borderId="0" applyNumberFormat="0" applyFill="0" applyBorder="0" applyAlignment="0" applyProtection="0"/>
    <xf numFmtId="0" fontId="3" fillId="4" borderId="12" applyNumberFormat="0" applyFont="0" applyAlignment="0" applyProtection="0"/>
    <xf numFmtId="43"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0" fontId="37" fillId="0" borderId="0" applyNumberFormat="0" applyFill="0" applyBorder="0" applyAlignment="0" applyProtection="0"/>
    <xf numFmtId="0" fontId="2" fillId="11" borderId="0" applyNumberFormat="0" applyBorder="0" applyAlignment="0" applyProtection="0"/>
    <xf numFmtId="0" fontId="2" fillId="12" borderId="0" applyNumberFormat="0" applyBorder="0" applyAlignment="0" applyProtection="0"/>
    <xf numFmtId="0" fontId="45" fillId="0" borderId="0"/>
    <xf numFmtId="0" fontId="53" fillId="7" borderId="0" applyNumberFormat="0" applyBorder="0" applyAlignment="0" applyProtection="0"/>
  </cellStyleXfs>
  <cellXfs count="254">
    <xf numFmtId="0" fontId="0" fillId="0" borderId="0" xfId="0">
      <alignment vertical="center"/>
    </xf>
    <xf numFmtId="0" fontId="6" fillId="0" borderId="0" xfId="0" applyFont="1">
      <alignment vertical="center"/>
    </xf>
    <xf numFmtId="0" fontId="6" fillId="0" borderId="0" xfId="0" applyFont="1" applyAlignment="1">
      <alignment horizontal="left"/>
    </xf>
    <xf numFmtId="0" fontId="5" fillId="0" borderId="0" xfId="0" applyFont="1" applyAlignment="1">
      <alignment horizontal="left" vertical="top" wrapText="1"/>
    </xf>
    <xf numFmtId="0" fontId="6" fillId="0" borderId="0" xfId="0" applyFont="1" applyAlignment="1">
      <alignment horizontal="left" vertical="top" wrapText="1"/>
    </xf>
    <xf numFmtId="0" fontId="0" fillId="13" borderId="1" xfId="2" applyFont="1" applyAlignment="1">
      <alignment horizontal="right" vertical="center"/>
      <protection locked="0"/>
    </xf>
    <xf numFmtId="165" fontId="0" fillId="13" borderId="1" xfId="2" applyNumberFormat="1" applyFont="1" applyAlignment="1">
      <alignment horizontal="right" vertical="center"/>
      <protection locked="0"/>
    </xf>
    <xf numFmtId="0" fontId="5" fillId="14" borderId="0" xfId="15">
      <alignment horizontal="left" vertical="center"/>
    </xf>
    <xf numFmtId="0" fontId="26" fillId="9" borderId="0" xfId="16">
      <alignment vertical="center"/>
    </xf>
    <xf numFmtId="0" fontId="27" fillId="0" borderId="0" xfId="17"/>
    <xf numFmtId="0" fontId="0" fillId="0" borderId="0" xfId="0" applyBorder="1">
      <alignment vertical="center"/>
    </xf>
    <xf numFmtId="0" fontId="0" fillId="0" borderId="0" xfId="0" applyAlignment="1">
      <alignment horizontal="left" vertical="center"/>
    </xf>
    <xf numFmtId="3" fontId="0" fillId="0" borderId="0" xfId="0" applyNumberFormat="1" applyBorder="1" applyAlignment="1">
      <alignment horizontal="left" vertical="center"/>
    </xf>
    <xf numFmtId="0" fontId="0" fillId="0" borderId="21" xfId="0" applyBorder="1">
      <alignment vertical="center"/>
    </xf>
    <xf numFmtId="0" fontId="0" fillId="0" borderId="0" xfId="0" applyAlignment="1">
      <alignment vertical="center" wrapText="1"/>
    </xf>
    <xf numFmtId="0" fontId="0" fillId="0" borderId="0" xfId="0" applyBorder="1" applyAlignment="1">
      <alignment vertical="top" wrapText="1"/>
    </xf>
    <xf numFmtId="0" fontId="0" fillId="0" borderId="0" xfId="0" applyAlignment="1">
      <alignment horizontal="right" vertical="center"/>
    </xf>
    <xf numFmtId="0" fontId="27" fillId="0" borderId="0" xfId="17" applyBorder="1" applyAlignment="1">
      <alignment horizontal="left" vertical="center"/>
    </xf>
    <xf numFmtId="0" fontId="27" fillId="0" borderId="0" xfId="17" applyBorder="1" applyAlignment="1">
      <alignment vertical="center"/>
    </xf>
    <xf numFmtId="0" fontId="27" fillId="0" borderId="0" xfId="17" applyAlignment="1">
      <alignment horizontal="left" vertical="center"/>
    </xf>
    <xf numFmtId="0" fontId="0" fillId="0" borderId="1" xfId="18" applyFont="1" applyAlignment="1">
      <alignment horizontal="right" vertical="center"/>
    </xf>
    <xf numFmtId="11" fontId="0" fillId="0" borderId="1" xfId="18" applyNumberFormat="1" applyFont="1" applyAlignment="1">
      <alignment horizontal="right" vertical="center"/>
    </xf>
    <xf numFmtId="0" fontId="4" fillId="0" borderId="0" xfId="1" applyFont="1" applyFill="1" applyAlignment="1">
      <alignment horizontal="left" vertical="top" wrapText="1"/>
    </xf>
    <xf numFmtId="0" fontId="0" fillId="0" borderId="1" xfId="0" applyBorder="1" applyAlignment="1">
      <alignment horizontal="left" vertical="center"/>
    </xf>
    <xf numFmtId="0" fontId="0" fillId="0" borderId="0" xfId="0" applyNumberFormat="1" applyBorder="1">
      <alignment vertical="center"/>
    </xf>
    <xf numFmtId="0" fontId="25" fillId="0" borderId="1" xfId="0" applyFont="1" applyBorder="1" applyAlignment="1">
      <alignment horizontal="left" vertical="center"/>
    </xf>
    <xf numFmtId="0" fontId="0" fillId="0" borderId="17" xfId="0" applyBorder="1" applyAlignment="1"/>
    <xf numFmtId="0" fontId="0" fillId="0" borderId="18" xfId="0" applyBorder="1" applyAlignment="1"/>
    <xf numFmtId="0" fontId="6" fillId="5" borderId="0" xfId="0" applyFont="1" applyFill="1">
      <alignment vertical="center"/>
    </xf>
    <xf numFmtId="0" fontId="5" fillId="5" borderId="0" xfId="0" applyFont="1" applyFill="1" applyAlignment="1">
      <alignment horizontal="left"/>
    </xf>
    <xf numFmtId="0" fontId="26" fillId="9" borderId="14" xfId="16" applyBorder="1">
      <alignment vertical="center"/>
    </xf>
    <xf numFmtId="0" fontId="26" fillId="9" borderId="15" xfId="16" applyBorder="1">
      <alignment vertical="center"/>
    </xf>
    <xf numFmtId="0" fontId="26" fillId="9" borderId="16" xfId="16" applyBorder="1">
      <alignment vertical="center"/>
    </xf>
    <xf numFmtId="0" fontId="0" fillId="0" borderId="27" xfId="0" applyBorder="1" applyAlignment="1">
      <alignment horizontal="left"/>
    </xf>
    <xf numFmtId="0" fontId="0" fillId="0" borderId="28" xfId="0" applyBorder="1">
      <alignment vertical="center"/>
    </xf>
    <xf numFmtId="0" fontId="28" fillId="5" borderId="0" xfId="0" applyFont="1" applyFill="1">
      <alignment vertical="center"/>
    </xf>
    <xf numFmtId="0" fontId="27" fillId="0" borderId="0" xfId="17" applyAlignment="1">
      <alignment horizontal="right" indent="1"/>
    </xf>
    <xf numFmtId="0" fontId="0" fillId="0" borderId="0" xfId="0" applyBorder="1" applyAlignment="1">
      <alignment horizontal="right" indent="1"/>
    </xf>
    <xf numFmtId="0" fontId="0" fillId="0" borderId="0" xfId="0" applyAlignment="1">
      <alignment horizontal="right" vertical="center" indent="1"/>
    </xf>
    <xf numFmtId="0" fontId="0" fillId="0" borderId="26" xfId="0" applyBorder="1" applyAlignment="1">
      <alignment horizontal="right" vertical="center" indent="1"/>
    </xf>
    <xf numFmtId="0" fontId="0" fillId="0" borderId="0" xfId="0" applyBorder="1" applyAlignment="1">
      <alignment vertical="top"/>
    </xf>
    <xf numFmtId="0" fontId="0" fillId="5" borderId="0" xfId="0" applyFill="1" applyAlignment="1">
      <alignment horizontal="left" vertical="center"/>
    </xf>
    <xf numFmtId="3" fontId="0" fillId="5" borderId="0" xfId="0" applyNumberFormat="1" applyFill="1" applyBorder="1" applyAlignment="1">
      <alignment horizontal="left" vertical="center"/>
    </xf>
    <xf numFmtId="0" fontId="31" fillId="5" borderId="0" xfId="0" applyFont="1" applyFill="1" applyAlignment="1">
      <alignment horizontal="right" vertical="center"/>
    </xf>
    <xf numFmtId="0" fontId="0" fillId="0" borderId="0" xfId="0" applyBorder="1" applyAlignment="1">
      <alignment horizontal="left" vertical="center"/>
    </xf>
    <xf numFmtId="0" fontId="5" fillId="10" borderId="5" xfId="0" applyFont="1" applyFill="1" applyBorder="1" applyAlignment="1">
      <alignment horizontal="center" vertical="center"/>
    </xf>
    <xf numFmtId="0" fontId="5" fillId="10" borderId="5" xfId="0" applyFont="1" applyFill="1" applyBorder="1" applyAlignment="1">
      <alignment horizontal="left" vertical="center"/>
    </xf>
    <xf numFmtId="0" fontId="0" fillId="0" borderId="0" xfId="0" applyAlignment="1">
      <alignment horizontal="left" vertical="center" indent="2"/>
    </xf>
    <xf numFmtId="0" fontId="31" fillId="0" borderId="0" xfId="0" applyFont="1" applyBorder="1">
      <alignment vertical="center"/>
    </xf>
    <xf numFmtId="0" fontId="7" fillId="0" borderId="20" xfId="0" applyFont="1" applyBorder="1" applyAlignment="1">
      <alignment vertical="center" readingOrder="1"/>
    </xf>
    <xf numFmtId="0" fontId="35" fillId="5" borderId="0" xfId="0" applyFont="1" applyFill="1" applyBorder="1">
      <alignment vertical="center"/>
    </xf>
    <xf numFmtId="0" fontId="36" fillId="5" borderId="0" xfId="0" applyFont="1" applyFill="1" applyBorder="1" applyAlignment="1">
      <alignment horizontal="left" vertical="center" readingOrder="1"/>
    </xf>
    <xf numFmtId="0" fontId="35" fillId="5" borderId="0" xfId="0" applyFont="1" applyFill="1" applyProtection="1">
      <alignment vertical="center"/>
      <protection locked="0"/>
    </xf>
    <xf numFmtId="0" fontId="0" fillId="0" borderId="0" xfId="0" applyBorder="1" applyAlignment="1">
      <alignment horizontal="right" vertical="center" indent="1"/>
    </xf>
    <xf numFmtId="0" fontId="0" fillId="0" borderId="1" xfId="18" applyNumberFormat="1" applyFont="1" applyAlignment="1">
      <alignment horizontal="right" vertical="center"/>
    </xf>
    <xf numFmtId="0" fontId="7" fillId="5" borderId="0" xfId="0" applyFont="1" applyFill="1" applyBorder="1" applyAlignment="1">
      <alignment horizontal="left" vertical="center" readingOrder="1"/>
    </xf>
    <xf numFmtId="0" fontId="5" fillId="5" borderId="0" xfId="0" applyFont="1" applyFill="1" applyAlignment="1"/>
    <xf numFmtId="44" fontId="5" fillId="14" borderId="0" xfId="15" applyNumberFormat="1">
      <alignment horizontal="left" vertical="center"/>
    </xf>
    <xf numFmtId="44" fontId="0" fillId="0" borderId="0" xfId="0" applyNumberFormat="1">
      <alignment vertical="center"/>
    </xf>
    <xf numFmtId="0" fontId="27" fillId="0" borderId="0" xfId="0" applyFont="1">
      <alignment vertical="center"/>
    </xf>
    <xf numFmtId="0" fontId="23" fillId="5" borderId="0" xfId="0" applyFont="1" applyFill="1" applyAlignment="1">
      <alignment horizontal="left" vertical="center"/>
    </xf>
    <xf numFmtId="0" fontId="6" fillId="5" borderId="0" xfId="0" applyFont="1" applyFill="1" applyAlignment="1">
      <alignment horizontal="left" vertical="center" indent="4"/>
    </xf>
    <xf numFmtId="0" fontId="28" fillId="0" borderId="0" xfId="0" applyFont="1">
      <alignment vertical="center"/>
    </xf>
    <xf numFmtId="0" fontId="0" fillId="0" borderId="33" xfId="0" applyBorder="1">
      <alignment vertical="center"/>
    </xf>
    <xf numFmtId="0" fontId="29" fillId="0" borderId="1" xfId="0" applyFont="1" applyBorder="1">
      <alignment vertical="center"/>
    </xf>
    <xf numFmtId="165" fontId="0" fillId="0" borderId="1" xfId="0" applyNumberFormat="1" applyBorder="1">
      <alignment vertical="center"/>
    </xf>
    <xf numFmtId="0" fontId="0" fillId="0" borderId="1" xfId="0" applyBorder="1" applyAlignment="1">
      <alignment horizontal="right" vertical="center"/>
    </xf>
    <xf numFmtId="0" fontId="0" fillId="0" borderId="1" xfId="0" applyBorder="1">
      <alignment vertical="center"/>
    </xf>
    <xf numFmtId="14" fontId="0" fillId="0" borderId="1" xfId="0" applyNumberFormat="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14" fontId="0" fillId="0" borderId="0" xfId="0" applyNumberFormat="1" applyBorder="1">
      <alignment vertical="center"/>
    </xf>
    <xf numFmtId="0" fontId="27" fillId="0" borderId="0" xfId="0" applyFont="1" applyBorder="1">
      <alignment vertical="center"/>
    </xf>
    <xf numFmtId="1" fontId="0" fillId="0" borderId="1" xfId="0" applyNumberFormat="1" applyBorder="1">
      <alignment vertical="center"/>
    </xf>
    <xf numFmtId="0" fontId="0" fillId="5" borderId="0" xfId="0" applyFill="1">
      <alignment vertical="center"/>
    </xf>
    <xf numFmtId="0" fontId="0" fillId="5" borderId="0" xfId="0" applyFill="1" applyAlignment="1">
      <alignment horizontal="left"/>
    </xf>
    <xf numFmtId="0" fontId="0" fillId="5" borderId="0" xfId="0" applyFill="1" applyAlignment="1">
      <alignment horizontal="left" vertical="center" indent="2"/>
    </xf>
    <xf numFmtId="0" fontId="38" fillId="5" borderId="0" xfId="0" applyFont="1" applyFill="1">
      <alignment vertical="center"/>
    </xf>
    <xf numFmtId="0" fontId="6" fillId="5" borderId="0" xfId="0" applyFont="1" applyFill="1" applyAlignment="1">
      <alignment vertical="center" wrapText="1"/>
    </xf>
    <xf numFmtId="3" fontId="27" fillId="15" borderId="1" xfId="3" applyNumberFormat="1" applyAlignment="1">
      <alignment horizontal="right" vertical="center"/>
    </xf>
    <xf numFmtId="0" fontId="27" fillId="0" borderId="0" xfId="17" quotePrefix="1" applyBorder="1" applyAlignment="1">
      <alignment vertical="top"/>
    </xf>
    <xf numFmtId="0" fontId="29" fillId="0" borderId="0" xfId="0" applyFont="1" applyBorder="1" applyAlignment="1">
      <alignment vertical="top"/>
    </xf>
    <xf numFmtId="0" fontId="29" fillId="0" borderId="0" xfId="0" applyFont="1" applyBorder="1" applyAlignment="1">
      <alignment horizontal="right" vertical="top"/>
    </xf>
    <xf numFmtId="0" fontId="27" fillId="0" borderId="0" xfId="0" applyFont="1" applyBorder="1" applyAlignment="1">
      <alignment vertical="top"/>
    </xf>
    <xf numFmtId="0" fontId="29" fillId="0" borderId="0" xfId="0" applyFont="1" applyBorder="1">
      <alignment vertical="center"/>
    </xf>
    <xf numFmtId="0" fontId="0" fillId="0" borderId="34" xfId="0" applyBorder="1" applyAlignment="1">
      <alignment horizontal="right" vertical="center"/>
    </xf>
    <xf numFmtId="0" fontId="0" fillId="0" borderId="35" xfId="0" applyBorder="1" applyAlignment="1">
      <alignment horizontal="right" vertical="center"/>
    </xf>
    <xf numFmtId="0" fontId="0" fillId="0" borderId="0" xfId="0" applyBorder="1" applyAlignment="1"/>
    <xf numFmtId="0" fontId="0" fillId="0" borderId="37" xfId="0" applyBorder="1">
      <alignment vertical="center"/>
    </xf>
    <xf numFmtId="14" fontId="0" fillId="0" borderId="37" xfId="0" applyNumberFormat="1" applyBorder="1">
      <alignment vertical="center"/>
    </xf>
    <xf numFmtId="0" fontId="26" fillId="9" borderId="18" xfId="16" applyBorder="1">
      <alignment vertical="center"/>
    </xf>
    <xf numFmtId="0" fontId="26" fillId="9" borderId="29" xfId="16" applyBorder="1">
      <alignment vertical="center"/>
    </xf>
    <xf numFmtId="164" fontId="0" fillId="0" borderId="5" xfId="0" applyNumberFormat="1" applyBorder="1" applyAlignment="1">
      <alignment horizontal="center" vertical="center"/>
    </xf>
    <xf numFmtId="1" fontId="0" fillId="0" borderId="5" xfId="0" applyNumberFormat="1" applyBorder="1" applyAlignment="1">
      <alignment horizontal="center" vertical="center"/>
    </xf>
    <xf numFmtId="0" fontId="0" fillId="0" borderId="0" xfId="0" applyBorder="1" applyAlignment="1">
      <alignment horizontal="left" vertical="top" wrapText="1"/>
    </xf>
    <xf numFmtId="0" fontId="23" fillId="0" borderId="0" xfId="0" applyFont="1">
      <alignment vertical="center"/>
    </xf>
    <xf numFmtId="0" fontId="29" fillId="0" borderId="0" xfId="0" applyFont="1">
      <alignment vertical="center"/>
    </xf>
    <xf numFmtId="0" fontId="29" fillId="0" borderId="0" xfId="0" applyFont="1" applyAlignment="1">
      <alignment horizontal="right" vertical="center"/>
    </xf>
    <xf numFmtId="0" fontId="0" fillId="0" borderId="1" xfId="0" applyNumberFormat="1" applyBorder="1">
      <alignment vertical="center"/>
    </xf>
    <xf numFmtId="0" fontId="0" fillId="0" borderId="0" xfId="0" applyAlignment="1">
      <alignment horizontal="left" vertical="top" wrapText="1"/>
    </xf>
    <xf numFmtId="0" fontId="42" fillId="0" borderId="36" xfId="0" applyFont="1" applyBorder="1" applyAlignment="1">
      <alignment horizontal="right" vertical="center"/>
    </xf>
    <xf numFmtId="0" fontId="29" fillId="0" borderId="0" xfId="0" applyFont="1" applyAlignment="1">
      <alignment horizontal="left" vertical="center"/>
    </xf>
    <xf numFmtId="0" fontId="46" fillId="0" borderId="0" xfId="46" applyFont="1"/>
    <xf numFmtId="0" fontId="45" fillId="0" borderId="0" xfId="46"/>
    <xf numFmtId="0" fontId="1" fillId="0" borderId="0" xfId="46" applyFont="1"/>
    <xf numFmtId="0" fontId="47" fillId="0" borderId="0" xfId="46" applyFont="1"/>
    <xf numFmtId="0" fontId="48" fillId="0" borderId="0" xfId="46" applyFont="1"/>
    <xf numFmtId="0" fontId="27" fillId="0" borderId="0" xfId="0" applyFont="1" applyAlignment="1">
      <alignment horizontal="center" vertical="center"/>
    </xf>
    <xf numFmtId="0" fontId="49" fillId="0" borderId="0" xfId="46" applyFont="1"/>
    <xf numFmtId="0" fontId="0" fillId="0" borderId="0" xfId="46" applyFont="1"/>
    <xf numFmtId="165" fontId="0" fillId="0" borderId="0" xfId="0" applyNumberFormat="1" applyAlignment="1"/>
    <xf numFmtId="165" fontId="0" fillId="0" borderId="1" xfId="0" applyNumberFormat="1" applyBorder="1" applyAlignment="1"/>
    <xf numFmtId="165" fontId="18" fillId="0" borderId="0" xfId="0" applyNumberFormat="1" applyFont="1" applyAlignment="1"/>
    <xf numFmtId="165" fontId="48" fillId="0" borderId="0" xfId="0" applyNumberFormat="1" applyFont="1" applyAlignment="1"/>
    <xf numFmtId="165" fontId="0" fillId="16" borderId="0" xfId="0" applyNumberFormat="1" applyFill="1" applyAlignment="1"/>
    <xf numFmtId="165" fontId="0" fillId="16" borderId="1" xfId="0" applyNumberFormat="1" applyFill="1" applyBorder="1" applyAlignment="1"/>
    <xf numFmtId="166" fontId="0" fillId="0" borderId="0" xfId="0" applyNumberFormat="1" applyAlignment="1"/>
    <xf numFmtId="165" fontId="0" fillId="0" borderId="1" xfId="0" applyNumberFormat="1" applyBorder="1" applyAlignment="1">
      <alignment horizontal="center" wrapText="1"/>
    </xf>
    <xf numFmtId="165" fontId="0" fillId="0" borderId="1" xfId="0" applyNumberFormat="1" applyBorder="1" applyAlignment="1">
      <alignment wrapText="1"/>
    </xf>
    <xf numFmtId="165" fontId="48" fillId="17" borderId="0" xfId="0" applyNumberFormat="1" applyFont="1" applyFill="1" applyAlignment="1"/>
    <xf numFmtId="0" fontId="1" fillId="0" borderId="0" xfId="46" applyFont="1" applyAlignment="1">
      <alignment wrapText="1"/>
    </xf>
    <xf numFmtId="166" fontId="45" fillId="0" borderId="0" xfId="46" applyNumberFormat="1"/>
    <xf numFmtId="0" fontId="45" fillId="0" borderId="0" xfId="46" applyAlignment="1">
      <alignment horizontal="center"/>
    </xf>
    <xf numFmtId="0" fontId="45" fillId="0" borderId="0" xfId="46" applyAlignment="1">
      <alignment horizontal="left"/>
    </xf>
    <xf numFmtId="1" fontId="45" fillId="0" borderId="0" xfId="46" applyNumberFormat="1" applyAlignment="1">
      <alignment horizontal="center" vertical="center"/>
    </xf>
    <xf numFmtId="0" fontId="1" fillId="0" borderId="0" xfId="46" applyFont="1" applyAlignment="1">
      <alignment horizontal="left"/>
    </xf>
    <xf numFmtId="0" fontId="52" fillId="0" borderId="0" xfId="46" applyFont="1"/>
    <xf numFmtId="0" fontId="53" fillId="7" borderId="0" xfId="47"/>
    <xf numFmtId="165" fontId="52" fillId="0" borderId="0" xfId="0" applyNumberFormat="1" applyFont="1" applyAlignment="1"/>
    <xf numFmtId="2" fontId="0" fillId="16" borderId="1" xfId="0" applyNumberFormat="1" applyFill="1" applyBorder="1" applyAlignment="1"/>
    <xf numFmtId="2" fontId="0" fillId="0" borderId="0" xfId="0" applyNumberFormat="1" applyAlignment="1"/>
    <xf numFmtId="2" fontId="2" fillId="0" borderId="0" xfId="0" applyNumberFormat="1" applyFont="1" applyAlignment="1"/>
    <xf numFmtId="166" fontId="0" fillId="0" borderId="0" xfId="0" applyNumberFormat="1">
      <alignment vertical="center"/>
    </xf>
    <xf numFmtId="2" fontId="0" fillId="0" borderId="0" xfId="0" applyNumberFormat="1">
      <alignment vertical="center"/>
    </xf>
    <xf numFmtId="0" fontId="0" fillId="17" borderId="0" xfId="0" applyFill="1" applyBorder="1">
      <alignment vertical="center"/>
    </xf>
    <xf numFmtId="0" fontId="27" fillId="17" borderId="0" xfId="0" applyFont="1" applyFill="1" applyBorder="1">
      <alignment vertical="center"/>
    </xf>
    <xf numFmtId="165" fontId="44" fillId="16" borderId="1" xfId="0" applyNumberFormat="1" applyFont="1" applyFill="1" applyBorder="1" applyAlignment="1"/>
    <xf numFmtId="2" fontId="44" fillId="0" borderId="1" xfId="0" applyNumberFormat="1" applyFont="1" applyBorder="1" applyAlignment="1"/>
    <xf numFmtId="0" fontId="57" fillId="0" borderId="0" xfId="0" applyFont="1">
      <alignment vertical="center"/>
    </xf>
    <xf numFmtId="2" fontId="44" fillId="16" borderId="1" xfId="0" applyNumberFormat="1" applyFont="1" applyFill="1" applyBorder="1" applyAlignment="1"/>
    <xf numFmtId="0" fontId="50" fillId="0" borderId="0" xfId="46" applyFont="1"/>
    <xf numFmtId="165" fontId="0" fillId="0" borderId="0" xfId="0" applyNumberFormat="1" applyBorder="1" applyAlignment="1"/>
    <xf numFmtId="0" fontId="45" fillId="0" borderId="0" xfId="46" applyAlignment="1">
      <alignment horizontal="left" indent="3"/>
    </xf>
    <xf numFmtId="1" fontId="1" fillId="0" borderId="0" xfId="46" applyNumberFormat="1" applyFont="1"/>
    <xf numFmtId="0" fontId="1" fillId="0" borderId="0" xfId="46" applyFont="1" applyAlignment="1">
      <alignment horizontal="center"/>
    </xf>
    <xf numFmtId="0" fontId="53" fillId="0" borderId="0" xfId="47" applyFill="1" applyBorder="1"/>
    <xf numFmtId="165" fontId="48" fillId="0" borderId="0" xfId="0" applyNumberFormat="1" applyFont="1" applyBorder="1" applyAlignment="1"/>
    <xf numFmtId="165" fontId="52" fillId="0" borderId="0" xfId="0" applyNumberFormat="1" applyFont="1" applyBorder="1" applyAlignment="1"/>
    <xf numFmtId="2" fontId="0" fillId="0" borderId="0" xfId="0" applyNumberFormat="1" applyBorder="1" applyAlignment="1"/>
    <xf numFmtId="166" fontId="0" fillId="0" borderId="0" xfId="0" applyNumberFormat="1" applyBorder="1" applyAlignment="1"/>
    <xf numFmtId="2" fontId="2" fillId="0" borderId="0" xfId="0" applyNumberFormat="1" applyFont="1" applyBorder="1" applyAlignment="1"/>
    <xf numFmtId="2" fontId="55" fillId="0" borderId="0" xfId="0" applyNumberFormat="1" applyFont="1" applyBorder="1" applyAlignment="1">
      <alignment wrapText="1"/>
    </xf>
    <xf numFmtId="0" fontId="50" fillId="16" borderId="0" xfId="46" applyFont="1" applyFill="1" applyAlignment="1">
      <alignment wrapText="1"/>
    </xf>
    <xf numFmtId="0" fontId="45" fillId="0" borderId="0" xfId="46" applyAlignment="1">
      <alignment wrapText="1"/>
    </xf>
    <xf numFmtId="0" fontId="50" fillId="16" borderId="0" xfId="46" applyFont="1" applyFill="1" applyAlignment="1">
      <alignment horizontal="left"/>
    </xf>
    <xf numFmtId="2" fontId="50" fillId="0" borderId="0" xfId="46" applyNumberFormat="1" applyFont="1" applyAlignment="1">
      <alignment horizontal="left"/>
    </xf>
    <xf numFmtId="165" fontId="27" fillId="0" borderId="0" xfId="0" applyNumberFormat="1" applyFont="1" applyAlignment="1"/>
    <xf numFmtId="0" fontId="47" fillId="0" borderId="0" xfId="46" applyFont="1" applyAlignment="1">
      <alignment horizontal="center" vertical="center"/>
    </xf>
    <xf numFmtId="2" fontId="45" fillId="0" borderId="0" xfId="46" applyNumberFormat="1"/>
    <xf numFmtId="165" fontId="29" fillId="0" borderId="0" xfId="0" applyNumberFormat="1" applyFont="1" applyBorder="1" applyAlignment="1"/>
    <xf numFmtId="165" fontId="44" fillId="16" borderId="1" xfId="0" applyNumberFormat="1" applyFont="1" applyFill="1" applyBorder="1" applyAlignment="1">
      <alignment horizontal="right"/>
    </xf>
    <xf numFmtId="165" fontId="44" fillId="16" borderId="0" xfId="0" applyNumberFormat="1" applyFont="1" applyFill="1" applyBorder="1" applyAlignment="1"/>
    <xf numFmtId="1" fontId="0" fillId="0" borderId="0" xfId="0" applyNumberFormat="1">
      <alignment vertical="center"/>
    </xf>
    <xf numFmtId="0" fontId="0" fillId="0" borderId="0" xfId="0" applyBorder="1" applyAlignment="1">
      <alignment horizontal="left" vertical="top" wrapText="1"/>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42" fillId="0" borderId="14" xfId="0" applyFont="1" applyBorder="1" applyAlignment="1">
      <alignment vertical="center" wrapText="1"/>
    </xf>
    <xf numFmtId="0" fontId="42" fillId="0" borderId="15" xfId="0" applyFont="1" applyBorder="1" applyAlignment="1">
      <alignment vertical="center" wrapText="1"/>
    </xf>
    <xf numFmtId="0" fontId="42" fillId="0" borderId="16" xfId="0" applyFont="1" applyBorder="1" applyAlignment="1">
      <alignment vertical="center" wrapText="1"/>
    </xf>
    <xf numFmtId="49" fontId="0" fillId="0" borderId="14" xfId="0" applyNumberFormat="1" applyBorder="1" applyAlignment="1">
      <alignment horizontal="center" vertical="center"/>
    </xf>
    <xf numFmtId="49" fontId="0" fillId="0" borderId="16" xfId="0" applyNumberFormat="1" applyBorder="1" applyAlignment="1">
      <alignment horizontal="center" vertical="center"/>
    </xf>
    <xf numFmtId="0" fontId="0" fillId="0" borderId="14" xfId="0" applyNumberFormat="1" applyBorder="1" applyAlignment="1">
      <alignment horizontal="center" vertical="center"/>
    </xf>
    <xf numFmtId="0" fontId="0" fillId="0" borderId="16" xfId="0" applyNumberFormat="1" applyBorder="1" applyAlignment="1">
      <alignment horizontal="center" vertical="center"/>
    </xf>
    <xf numFmtId="0" fontId="0" fillId="0" borderId="0" xfId="0" applyAlignment="1">
      <alignment horizontal="left" vertical="top" wrapText="1"/>
    </xf>
    <xf numFmtId="0" fontId="27" fillId="0" borderId="0" xfId="0" applyFont="1" applyBorder="1" applyAlignment="1">
      <alignment horizontal="center" vertical="center"/>
    </xf>
    <xf numFmtId="0" fontId="26" fillId="9" borderId="0" xfId="16">
      <alignment vertical="center"/>
    </xf>
    <xf numFmtId="0" fontId="40" fillId="0" borderId="0" xfId="1" applyFont="1" applyFill="1" applyAlignment="1">
      <alignment horizontal="left" vertical="top" wrapText="1"/>
    </xf>
    <xf numFmtId="0" fontId="41" fillId="0" borderId="0" xfId="1" applyFont="1" applyFill="1" applyAlignment="1">
      <alignment horizontal="left" vertical="top" wrapText="1"/>
    </xf>
    <xf numFmtId="0" fontId="5" fillId="10" borderId="14" xfId="0" applyFont="1" applyFill="1" applyBorder="1" applyAlignment="1">
      <alignment horizontal="left" vertical="center"/>
    </xf>
    <xf numFmtId="0" fontId="5" fillId="10" borderId="15" xfId="0" applyFont="1" applyFill="1" applyBorder="1" applyAlignment="1">
      <alignment horizontal="left" vertical="center"/>
    </xf>
    <xf numFmtId="0" fontId="5" fillId="10" borderId="16" xfId="0" applyFont="1" applyFill="1" applyBorder="1" applyAlignment="1">
      <alignment horizontal="left" vertical="center"/>
    </xf>
    <xf numFmtId="0" fontId="0" fillId="0" borderId="17" xfId="0" quotePrefix="1" applyBorder="1" applyAlignment="1">
      <alignment horizontal="left" vertical="center"/>
    </xf>
    <xf numFmtId="0" fontId="0" fillId="0" borderId="18" xfId="0" quotePrefix="1" applyBorder="1" applyAlignment="1">
      <alignment horizontal="left" vertical="center"/>
    </xf>
    <xf numFmtId="0" fontId="0" fillId="0" borderId="29" xfId="0" quotePrefix="1" applyBorder="1" applyAlignment="1">
      <alignment horizontal="left" vertical="center"/>
    </xf>
    <xf numFmtId="0" fontId="5" fillId="10" borderId="14" xfId="0" applyFont="1" applyFill="1" applyBorder="1" applyAlignment="1">
      <alignment horizontal="center" vertical="center"/>
    </xf>
    <xf numFmtId="0" fontId="5" fillId="10" borderId="16" xfId="0" applyFont="1" applyFill="1" applyBorder="1" applyAlignment="1">
      <alignment horizontal="center" vertical="center"/>
    </xf>
    <xf numFmtId="0" fontId="0" fillId="0" borderId="30" xfId="0" quotePrefix="1" applyBorder="1" applyAlignment="1">
      <alignment horizontal="left" vertical="center"/>
    </xf>
    <xf numFmtId="0" fontId="0" fillId="0" borderId="31" xfId="0" quotePrefix="1" applyBorder="1" applyAlignment="1">
      <alignment horizontal="left" vertical="center"/>
    </xf>
    <xf numFmtId="0" fontId="0" fillId="0" borderId="32" xfId="0" quotePrefix="1" applyBorder="1" applyAlignment="1">
      <alignment horizontal="left" vertical="center"/>
    </xf>
    <xf numFmtId="0" fontId="0" fillId="0" borderId="14" xfId="0" applyBorder="1" applyAlignment="1">
      <alignment vertical="center" wrapText="1"/>
    </xf>
    <xf numFmtId="0" fontId="0" fillId="0" borderId="15" xfId="0" applyBorder="1" applyAlignment="1">
      <alignment vertical="center" wrapText="1"/>
    </xf>
    <xf numFmtId="0" fontId="0" fillId="0" borderId="16" xfId="0" applyBorder="1" applyAlignment="1">
      <alignment vertical="center" wrapText="1"/>
    </xf>
    <xf numFmtId="0" fontId="6" fillId="5" borderId="0" xfId="0" applyFont="1" applyFill="1" applyAlignment="1">
      <alignment horizontal="left" vertical="center" wrapText="1"/>
    </xf>
    <xf numFmtId="0" fontId="6" fillId="5" borderId="0" xfId="0" applyFont="1" applyFill="1" applyAlignment="1">
      <alignment horizontal="left" vertical="top" wrapText="1"/>
    </xf>
    <xf numFmtId="1" fontId="0" fillId="0" borderId="14" xfId="0" applyNumberFormat="1" applyBorder="1" applyAlignment="1">
      <alignment horizontal="center" vertical="center"/>
    </xf>
    <xf numFmtId="1" fontId="0" fillId="0" borderId="16" xfId="0" applyNumberFormat="1" applyBorder="1" applyAlignment="1">
      <alignment horizontal="center" vertical="center"/>
    </xf>
    <xf numFmtId="0" fontId="5" fillId="10" borderId="5" xfId="0" applyFont="1" applyFill="1" applyBorder="1" applyAlignment="1">
      <alignment horizontal="left" vertical="center"/>
    </xf>
    <xf numFmtId="0" fontId="0" fillId="0" borderId="22" xfId="0" applyBorder="1">
      <alignment vertical="center"/>
    </xf>
    <xf numFmtId="0" fontId="0" fillId="0" borderId="23" xfId="0" applyBorder="1">
      <alignment vertical="center"/>
    </xf>
    <xf numFmtId="0" fontId="0" fillId="0" borderId="21" xfId="0" applyBorder="1">
      <alignment vertical="center"/>
    </xf>
    <xf numFmtId="0" fontId="0" fillId="0" borderId="26" xfId="0" applyBorder="1">
      <alignment vertical="center"/>
    </xf>
    <xf numFmtId="0" fontId="0" fillId="0" borderId="24" xfId="0" applyBorder="1">
      <alignment vertical="center"/>
    </xf>
    <xf numFmtId="0" fontId="0" fillId="0" borderId="25" xfId="0" applyBorder="1">
      <alignment vertical="center"/>
    </xf>
    <xf numFmtId="0" fontId="27" fillId="15" borderId="1" xfId="3" applyAlignment="1">
      <alignment horizontal="center" vertical="center" wrapText="1"/>
    </xf>
    <xf numFmtId="0" fontId="0" fillId="0" borderId="22" xfId="0" quotePrefix="1" applyBorder="1" applyAlignment="1">
      <alignment vertical="center" wrapText="1"/>
    </xf>
    <xf numFmtId="0" fontId="0" fillId="0" borderId="19" xfId="0" quotePrefix="1" applyBorder="1" applyAlignment="1">
      <alignment vertical="center" wrapText="1"/>
    </xf>
    <xf numFmtId="0" fontId="0" fillId="0" borderId="23" xfId="0" quotePrefix="1" applyBorder="1" applyAlignment="1">
      <alignment vertical="center" wrapText="1"/>
    </xf>
    <xf numFmtId="0" fontId="0" fillId="0" borderId="24" xfId="0" quotePrefix="1" applyBorder="1" applyAlignment="1">
      <alignment vertical="center" wrapText="1"/>
    </xf>
    <xf numFmtId="0" fontId="0" fillId="0" borderId="20" xfId="0" quotePrefix="1" applyBorder="1" applyAlignment="1">
      <alignment vertical="center" wrapText="1"/>
    </xf>
    <xf numFmtId="0" fontId="0" fillId="0" borderId="25" xfId="0" quotePrefix="1" applyBorder="1" applyAlignment="1">
      <alignment vertical="center" wrapText="1"/>
    </xf>
    <xf numFmtId="0" fontId="0" fillId="0" borderId="1" xfId="18" applyFont="1" applyAlignment="1">
      <alignment horizontal="center" vertical="center"/>
    </xf>
    <xf numFmtId="0" fontId="25" fillId="0" borderId="1" xfId="18" applyAlignment="1">
      <alignment horizontal="center" vertical="center"/>
    </xf>
    <xf numFmtId="0" fontId="0" fillId="13" borderId="1" xfId="2" applyNumberFormat="1" applyFont="1" applyAlignment="1">
      <alignment horizontal="center" vertical="center"/>
      <protection locked="0"/>
    </xf>
    <xf numFmtId="0" fontId="25" fillId="13" borderId="1" xfId="2" applyNumberFormat="1" applyAlignment="1">
      <alignment horizontal="center" vertical="center"/>
      <protection locked="0"/>
    </xf>
    <xf numFmtId="0" fontId="0" fillId="0" borderId="1" xfId="0" applyBorder="1">
      <alignment vertical="center"/>
    </xf>
    <xf numFmtId="14" fontId="0" fillId="0" borderId="2" xfId="0" applyNumberFormat="1" applyBorder="1">
      <alignment vertical="center"/>
    </xf>
    <xf numFmtId="14" fontId="0" fillId="0" borderId="4" xfId="0" applyNumberFormat="1" applyBorder="1">
      <alignment vertical="center"/>
    </xf>
    <xf numFmtId="0" fontId="0" fillId="0" borderId="2" xfId="0" applyNumberFormat="1" applyBorder="1">
      <alignment vertical="center"/>
    </xf>
    <xf numFmtId="0" fontId="0" fillId="0" borderId="3" xfId="0" applyNumberFormat="1" applyBorder="1">
      <alignment vertical="center"/>
    </xf>
    <xf numFmtId="0" fontId="0" fillId="0" borderId="4" xfId="0" applyNumberFormat="1" applyBorder="1">
      <alignment vertical="center"/>
    </xf>
    <xf numFmtId="0" fontId="0" fillId="0" borderId="1" xfId="0" applyNumberFormat="1" applyBorder="1">
      <alignment vertical="center"/>
    </xf>
    <xf numFmtId="0" fontId="25" fillId="0" borderId="1" xfId="0" applyFont="1" applyBorder="1" applyAlignment="1">
      <alignment horizontal="left" vertical="center"/>
    </xf>
    <xf numFmtId="0" fontId="0" fillId="13" borderId="22" xfId="2" applyFont="1" applyBorder="1" applyAlignment="1">
      <alignment horizontal="left" vertical="top" wrapText="1"/>
      <protection locked="0"/>
    </xf>
    <xf numFmtId="0" fontId="0" fillId="13" borderId="19" xfId="2" applyFont="1" applyBorder="1" applyAlignment="1">
      <alignment horizontal="left" vertical="top" wrapText="1"/>
      <protection locked="0"/>
    </xf>
    <xf numFmtId="0" fontId="0" fillId="13" borderId="23" xfId="2" applyFont="1" applyBorder="1" applyAlignment="1">
      <alignment horizontal="left" vertical="top" wrapText="1"/>
      <protection locked="0"/>
    </xf>
    <xf numFmtId="0" fontId="0" fillId="13" borderId="21" xfId="2" applyFont="1" applyBorder="1" applyAlignment="1">
      <alignment horizontal="left" vertical="top" wrapText="1"/>
      <protection locked="0"/>
    </xf>
    <xf numFmtId="0" fontId="0" fillId="13" borderId="0" xfId="2" applyFont="1" applyBorder="1" applyAlignment="1">
      <alignment horizontal="left" vertical="top" wrapText="1"/>
      <protection locked="0"/>
    </xf>
    <xf numFmtId="0" fontId="0" fillId="13" borderId="26" xfId="2" applyFont="1" applyBorder="1" applyAlignment="1">
      <alignment horizontal="left" vertical="top" wrapText="1"/>
      <protection locked="0"/>
    </xf>
    <xf numFmtId="0" fontId="0" fillId="13" borderId="24" xfId="2" applyFont="1" applyBorder="1" applyAlignment="1">
      <alignment horizontal="left" vertical="top" wrapText="1"/>
      <protection locked="0"/>
    </xf>
    <xf numFmtId="0" fontId="0" fillId="13" borderId="20" xfId="2" applyFont="1" applyBorder="1" applyAlignment="1">
      <alignment horizontal="left" vertical="top" wrapText="1"/>
      <protection locked="0"/>
    </xf>
    <xf numFmtId="0" fontId="0" fillId="13" borderId="25" xfId="2" applyFont="1" applyBorder="1" applyAlignment="1">
      <alignment horizontal="left" vertical="top" wrapText="1"/>
      <protection locked="0"/>
    </xf>
    <xf numFmtId="0" fontId="25" fillId="13" borderId="22" xfId="2" applyBorder="1" applyAlignment="1">
      <alignment horizontal="left" vertical="top" wrapText="1"/>
      <protection locked="0"/>
    </xf>
    <xf numFmtId="0" fontId="25" fillId="13" borderId="19" xfId="2" applyBorder="1" applyAlignment="1">
      <alignment horizontal="left" vertical="top" wrapText="1"/>
      <protection locked="0"/>
    </xf>
    <xf numFmtId="0" fontId="25" fillId="13" borderId="23" xfId="2" applyBorder="1" applyAlignment="1">
      <alignment horizontal="left" vertical="top" wrapText="1"/>
      <protection locked="0"/>
    </xf>
    <xf numFmtId="0" fontId="25" fillId="13" borderId="21" xfId="2" applyBorder="1" applyAlignment="1">
      <alignment horizontal="left" vertical="top" wrapText="1"/>
      <protection locked="0"/>
    </xf>
    <xf numFmtId="0" fontId="25" fillId="13" borderId="0" xfId="2" applyBorder="1" applyAlignment="1">
      <alignment horizontal="left" vertical="top" wrapText="1"/>
      <protection locked="0"/>
    </xf>
    <xf numFmtId="0" fontId="25" fillId="13" borderId="26" xfId="2" applyBorder="1" applyAlignment="1">
      <alignment horizontal="left" vertical="top" wrapText="1"/>
      <protection locked="0"/>
    </xf>
    <xf numFmtId="0" fontId="25" fillId="13" borderId="24" xfId="2" applyBorder="1" applyAlignment="1">
      <alignment horizontal="left" vertical="top" wrapText="1"/>
      <protection locked="0"/>
    </xf>
    <xf numFmtId="0" fontId="25" fillId="13" borderId="20" xfId="2" applyBorder="1" applyAlignment="1">
      <alignment horizontal="left" vertical="top" wrapText="1"/>
      <protection locked="0"/>
    </xf>
    <xf numFmtId="0" fontId="25" fillId="13" borderId="25" xfId="2" applyBorder="1" applyAlignment="1">
      <alignment horizontal="left" vertical="top" wrapText="1"/>
      <protection locked="0"/>
    </xf>
    <xf numFmtId="165" fontId="0" fillId="0" borderId="0" xfId="0" applyNumberFormat="1" applyAlignment="1">
      <alignment horizontal="center" wrapText="1"/>
    </xf>
    <xf numFmtId="0" fontId="27" fillId="5" borderId="0" xfId="0" applyFont="1" applyFill="1" applyBorder="1" applyAlignment="1">
      <alignment horizontal="left" vertical="center"/>
    </xf>
    <xf numFmtId="0" fontId="29" fillId="0" borderId="1" xfId="0" applyFont="1" applyBorder="1" applyAlignment="1">
      <alignment horizontal="left" vertical="center"/>
    </xf>
    <xf numFmtId="0" fontId="29" fillId="0" borderId="2" xfId="0" applyFont="1" applyBorder="1" applyAlignment="1">
      <alignment horizontal="left" vertical="center"/>
    </xf>
    <xf numFmtId="0" fontId="29" fillId="0" borderId="3" xfId="0" applyFont="1" applyBorder="1" applyAlignment="1">
      <alignment horizontal="left" vertical="center"/>
    </xf>
    <xf numFmtId="0" fontId="29" fillId="0" borderId="4" xfId="0" applyFont="1"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cellXfs>
  <cellStyles count="48">
    <cellStyle name="20% - Accent1" xfId="44" builtinId="30" hidden="1"/>
    <cellStyle name="20% - Accent2" xfId="45" builtinId="34" hidden="1"/>
    <cellStyle name="Bad" xfId="25" builtinId="27" hidden="1"/>
    <cellStyle name="Bad" xfId="33" builtinId="27" hidden="1"/>
    <cellStyle name="Bad" xfId="47" builtinId="27"/>
    <cellStyle name="Calculation" xfId="9" builtinId="22" hidden="1"/>
    <cellStyle name="Calculation" xfId="35" builtinId="22" hidden="1"/>
    <cellStyle name="Check Cell" xfId="11" builtinId="23" hidden="1"/>
    <cellStyle name="Check Cell" xfId="37" builtinId="23" hidden="1"/>
    <cellStyle name="Comma" xfId="19" builtinId="3" hidden="1"/>
    <cellStyle name="Comma" xfId="40" xr:uid="{00000000-0005-0000-0000-000009000000}"/>
    <cellStyle name="Comma [0]" xfId="20" builtinId="6" hidden="1"/>
    <cellStyle name="Currency" xfId="21" builtinId="4" hidden="1"/>
    <cellStyle name="Currency" xfId="41" xr:uid="{00000000-0005-0000-0000-00000C000000}"/>
    <cellStyle name="Currency [0]" xfId="22" builtinId="7" hidden="1"/>
    <cellStyle name="Explanatory Text" xfId="13" builtinId="53" hidden="1"/>
    <cellStyle name="Explanatory Text" xfId="38" builtinId="53" hidden="1"/>
    <cellStyle name="Good" xfId="24" builtinId="26" hidden="1"/>
    <cellStyle name="Good" xfId="32" builtinId="26" hidden="1"/>
    <cellStyle name="Heading 1" xfId="5" builtinId="16" hidden="1"/>
    <cellStyle name="Heading 1" xfId="28" builtinId="16" hidden="1"/>
    <cellStyle name="Heading 2" xfId="6" builtinId="17" hidden="1"/>
    <cellStyle name="Heading 2" xfId="29" builtinId="17" hidden="1"/>
    <cellStyle name="Heading 3" xfId="7" builtinId="18" hidden="1"/>
    <cellStyle name="Heading 3" xfId="30" builtinId="18" hidden="1"/>
    <cellStyle name="Heading 4" xfId="8" builtinId="19" hidden="1"/>
    <cellStyle name="Heading 4" xfId="31" builtinId="19" hidden="1"/>
    <cellStyle name="Heading-1" xfId="16" xr:uid="{00000000-0005-0000-0000-00001A000000}"/>
    <cellStyle name="Heading-2" xfId="15" xr:uid="{00000000-0005-0000-0000-00001B000000}"/>
    <cellStyle name="Heading-3" xfId="17" xr:uid="{00000000-0005-0000-0000-00001C000000}"/>
    <cellStyle name="Hyperlink" xfId="1" builtinId="8" customBuiltin="1"/>
    <cellStyle name="Input" xfId="2" builtinId="20" customBuiltin="1"/>
    <cellStyle name="Intermediate output" xfId="18" xr:uid="{00000000-0005-0000-0000-00001F000000}"/>
    <cellStyle name="Linked Cell" xfId="10" builtinId="24" hidden="1"/>
    <cellStyle name="Linked Cell" xfId="36" builtinId="24" hidden="1"/>
    <cellStyle name="Neutral" xfId="26" builtinId="28" hidden="1"/>
    <cellStyle name="Neutral" xfId="34" builtinId="28" hidden="1"/>
    <cellStyle name="Normal" xfId="0" builtinId="0" customBuiltin="1"/>
    <cellStyle name="Normal 3" xfId="46" xr:uid="{4AC02B71-1FD0-470B-9904-3ED2DC536BBB}"/>
    <cellStyle name="Note" xfId="12" builtinId="10" hidden="1"/>
    <cellStyle name="Note" xfId="39" xr:uid="{00000000-0005-0000-0000-000026000000}"/>
    <cellStyle name="Output" xfId="3" builtinId="21" customBuiltin="1"/>
    <cellStyle name="Percent" xfId="23" builtinId="5" hidden="1"/>
    <cellStyle name="Percent" xfId="42" xr:uid="{00000000-0005-0000-0000-000029000000}"/>
    <cellStyle name="Title" xfId="4" builtinId="15" hidden="1"/>
    <cellStyle name="Title" xfId="27" builtinId="15" hidden="1"/>
    <cellStyle name="Total" xfId="14" builtinId="25" hidden="1" customBuiltin="1"/>
    <cellStyle name="Warning Text" xfId="43" builtinId="11" hidden="1"/>
  </cellStyles>
  <dxfs count="58">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9"/>
      </font>
      <fill>
        <patternFill>
          <bgColor indexed="9"/>
        </patternFill>
      </fill>
    </dxf>
    <dxf>
      <font>
        <condense val="0"/>
        <extend val="0"/>
        <color indexed="10"/>
      </font>
    </dxf>
    <dxf>
      <font>
        <condense val="0"/>
        <extend val="0"/>
        <color indexed="10"/>
      </font>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10"/>
      </font>
    </dxf>
    <dxf>
      <font>
        <color rgb="FF7AB800"/>
      </font>
      <fill>
        <patternFill patternType="none">
          <bgColor indexed="65"/>
        </patternFill>
      </fill>
    </dxf>
    <dxf>
      <font>
        <condense val="0"/>
        <extend val="0"/>
        <color indexed="9"/>
      </font>
      <fill>
        <patternFill>
          <bgColor indexed="9"/>
        </patternFill>
      </fill>
    </dxf>
    <dxf>
      <font>
        <condense val="0"/>
        <extend val="0"/>
        <color indexed="10"/>
      </font>
    </dxf>
    <dxf>
      <font>
        <condense val="0"/>
        <extend val="0"/>
        <color indexed="10"/>
      </font>
    </dxf>
    <dxf>
      <fill>
        <patternFill>
          <bgColor rgb="FF00B050"/>
        </patternFill>
      </fill>
    </dxf>
    <dxf>
      <fill>
        <patternFill>
          <bgColor rgb="FF00B050"/>
        </patternFill>
      </fill>
    </dxf>
    <dxf>
      <font>
        <color rgb="FF00B050"/>
      </font>
    </dxf>
    <dxf>
      <font>
        <color rgb="FF00B050"/>
      </font>
    </dxf>
    <dxf>
      <font>
        <color theme="1"/>
      </font>
      <fill>
        <patternFill>
          <bgColor rgb="FF00B050"/>
        </patternFill>
      </fill>
    </dxf>
    <dxf>
      <fill>
        <patternFill>
          <bgColor rgb="FF00B050"/>
        </patternFill>
      </fill>
    </dxf>
    <dxf>
      <fill>
        <patternFill>
          <bgColor rgb="FF00B050"/>
        </patternFill>
      </fill>
    </dxf>
    <dxf>
      <font>
        <color rgb="FF00B050"/>
      </font>
    </dxf>
    <dxf>
      <font>
        <color rgb="FF00B050"/>
      </font>
    </dxf>
    <dxf>
      <font>
        <color theme="1"/>
      </font>
      <fill>
        <patternFill>
          <bgColor rgb="FF00B050"/>
        </patternFill>
      </fill>
    </dxf>
    <dxf>
      <fill>
        <patternFill>
          <bgColor rgb="FF00B050"/>
        </patternFill>
      </fill>
    </dxf>
    <dxf>
      <fill>
        <patternFill>
          <bgColor rgb="FF00B050"/>
        </patternFill>
      </fill>
    </dxf>
    <dxf>
      <font>
        <color rgb="FF00B050"/>
      </font>
    </dxf>
    <dxf>
      <font>
        <color rgb="FF00B050"/>
      </font>
    </dxf>
    <dxf>
      <font>
        <color theme="1"/>
      </font>
      <fill>
        <patternFill>
          <bgColor rgb="FF00B050"/>
        </patternFill>
      </fill>
    </dxf>
    <dxf>
      <fill>
        <patternFill>
          <bgColor theme="6" tint="0.59996337778862885"/>
        </patternFill>
      </fill>
    </dxf>
    <dxf>
      <font>
        <b/>
        <i val="0"/>
      </font>
      <border>
        <top style="thin">
          <color auto="1"/>
        </top>
        <bottom style="thin">
          <color auto="1"/>
        </bottom>
      </border>
    </dxf>
    <dxf>
      <border>
        <top style="thin">
          <color auto="1"/>
        </top>
        <bottom style="thin">
          <color auto="1"/>
        </bottom>
      </border>
    </dxf>
    <dxf>
      <font>
        <b/>
        <i val="0"/>
        <color theme="0"/>
      </font>
      <fill>
        <patternFill>
          <bgColor theme="4"/>
        </patternFill>
      </fill>
    </dxf>
    <dxf>
      <border>
        <left style="thin">
          <color theme="4"/>
        </left>
        <right style="thin">
          <color theme="4"/>
        </right>
        <top style="thin">
          <color theme="4"/>
        </top>
        <bottom style="thin">
          <color theme="4"/>
        </bottom>
        <vertical style="thin">
          <color theme="4"/>
        </vertical>
        <horizontal style="thin">
          <color theme="4"/>
        </horizontal>
      </border>
    </dxf>
    <dxf>
      <border>
        <top style="thin">
          <color auto="1"/>
        </top>
        <bottom style="double">
          <color auto="1"/>
        </bottom>
      </border>
    </dxf>
    <dxf>
      <font>
        <b/>
        <i val="0"/>
      </font>
      <fill>
        <patternFill>
          <bgColor theme="8" tint="0.79998168889431442"/>
        </patternFill>
      </fill>
    </dxf>
    <dxf>
      <fill>
        <patternFill patternType="none">
          <bgColor auto="1"/>
        </patternFill>
      </fill>
      <border>
        <left style="thin">
          <color theme="4"/>
        </left>
        <right style="thin">
          <color theme="4"/>
        </right>
        <top style="thin">
          <color theme="4"/>
        </top>
        <bottom style="thin">
          <color theme="4"/>
        </bottom>
        <vertical style="thin">
          <color theme="4"/>
        </vertical>
        <horizontal style="thin">
          <color theme="4"/>
        </horizontal>
      </border>
    </dxf>
    <dxf>
      <fill>
        <patternFill>
          <bgColor theme="8"/>
        </patternFill>
      </fill>
    </dxf>
    <dxf>
      <fill>
        <patternFill>
          <bgColor theme="5" tint="0.79998168889431442"/>
        </patternFill>
      </fill>
    </dxf>
    <dxf>
      <border>
        <top style="thin">
          <color auto="1"/>
        </top>
        <bottom style="double">
          <color auto="1"/>
        </bottom>
      </border>
    </dxf>
    <dxf>
      <font>
        <b/>
        <i val="0"/>
      </font>
      <fill>
        <patternFill>
          <bgColor theme="5" tint="0.79998168889431442"/>
        </patternFill>
      </fill>
    </dxf>
    <dxf>
      <border>
        <left style="thin">
          <color theme="6"/>
        </left>
        <right style="thin">
          <color theme="6"/>
        </right>
        <top style="thin">
          <color theme="6"/>
        </top>
        <bottom style="thin">
          <color theme="6"/>
        </bottom>
        <vertical style="thin">
          <color theme="6"/>
        </vertical>
        <horizontal style="thin">
          <color theme="6"/>
        </horizontal>
      </border>
    </dxf>
    <dxf>
      <fill>
        <patternFill patternType="none">
          <bgColor auto="1"/>
        </patternFill>
      </fill>
    </dxf>
    <dxf>
      <font>
        <b/>
        <i val="0"/>
      </font>
      <border>
        <top style="thin">
          <color auto="1"/>
        </top>
        <bottom style="double">
          <color auto="1"/>
        </bottom>
      </border>
    </dxf>
    <dxf>
      <font>
        <b/>
        <i val="0"/>
      </font>
      <fill>
        <patternFill>
          <bgColor theme="8"/>
        </patternFill>
      </fill>
    </dxf>
    <dxf>
      <fill>
        <patternFill>
          <bgColor theme="8" tint="0.79998168889431442"/>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s>
  <tableStyles count="5" defaultTableStyle="TableStyleMedium9" defaultPivotStyle="PivotStyleLight16">
    <tableStyle name="Aurecon Table 1" pivot="0" count="4" xr9:uid="{00000000-0011-0000-FFFF-FFFF00000000}">
      <tableStyleElement type="wholeTable" dxfId="57"/>
      <tableStyleElement type="headerRow" dxfId="56"/>
      <tableStyleElement type="totalRow" dxfId="55"/>
      <tableStyleElement type="firstRowStripe" dxfId="54"/>
    </tableStyle>
    <tableStyle name="Aurecon Table 2" pivot="0" count="5" xr9:uid="{00000000-0011-0000-FFFF-FFFF01000000}">
      <tableStyleElement type="wholeTable" dxfId="53"/>
      <tableStyleElement type="headerRow" dxfId="52"/>
      <tableStyleElement type="totalRow" dxfId="51"/>
      <tableStyleElement type="firstColumn" dxfId="50"/>
      <tableStyleElement type="firstRowStripe" dxfId="49"/>
    </tableStyle>
    <tableStyle name="Aurecon Table 3" pivot="0" count="3" xr9:uid="{00000000-0011-0000-FFFF-FFFF02000000}">
      <tableStyleElement type="wholeTable" dxfId="48"/>
      <tableStyleElement type="headerRow" dxfId="47"/>
      <tableStyleElement type="totalRow" dxfId="46"/>
    </tableStyle>
    <tableStyle name="Aurecon Table 4" pivot="0" count="2" xr9:uid="{00000000-0011-0000-FFFF-FFFF03000000}">
      <tableStyleElement type="wholeTable" dxfId="45"/>
      <tableStyleElement type="headerRow" dxfId="44"/>
    </tableStyle>
    <tableStyle name="Aurecon Table 5" pivot="0" count="3" xr9:uid="{00000000-0011-0000-FFFF-FFFF04000000}">
      <tableStyleElement type="wholeTable" dxfId="43"/>
      <tableStyleElement type="headerRow" dxfId="42"/>
      <tableStyleElement type="firstRowStripe" dxfId="41"/>
    </tableStyle>
  </tableStyles>
  <colors>
    <mruColors>
      <color rgb="FFDCEFBC"/>
      <color rgb="FFC4E58E"/>
      <color rgb="FF353D30"/>
      <color rgb="FF7AB800"/>
      <color rgb="FFF1F8E5"/>
      <color rgb="FFEFF0EF"/>
      <color rgb="FFE7F1CF"/>
      <color rgb="FF84C446"/>
      <color rgb="FF0000FF"/>
      <color rgb="FFD6F3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emf"/></Relationships>
</file>

<file path=xl/drawings/_rels/drawing11.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image" Target="../media/image14.png"/><Relationship Id="rId1" Type="http://schemas.openxmlformats.org/officeDocument/2006/relationships/image" Target="../media/image13.jpeg"/><Relationship Id="rId5" Type="http://schemas.openxmlformats.org/officeDocument/2006/relationships/image" Target="../media/image17.png"/><Relationship Id="rId4"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13</xdr:col>
      <xdr:colOff>47058</xdr:colOff>
      <xdr:row>3</xdr:row>
      <xdr:rowOff>11200</xdr:rowOff>
    </xdr:from>
    <xdr:to>
      <xdr:col>13</xdr:col>
      <xdr:colOff>494298</xdr:colOff>
      <xdr:row>5</xdr:row>
      <xdr:rowOff>285745</xdr:rowOff>
    </xdr:to>
    <xdr:sp macro="" textlink="">
      <xdr:nvSpPr>
        <xdr:cNvPr id="2" name="Left Brace 1">
          <a:extLst>
            <a:ext uri="{FF2B5EF4-FFF2-40B4-BE49-F238E27FC236}">
              <a16:creationId xmlns:a16="http://schemas.microsoft.com/office/drawing/2014/main" id="{00000000-0008-0000-0000-000002000000}"/>
            </a:ext>
          </a:extLst>
        </xdr:cNvPr>
        <xdr:cNvSpPr/>
      </xdr:nvSpPr>
      <xdr:spPr bwMode="auto">
        <a:xfrm rot="10800000">
          <a:off x="6609783" y="554125"/>
          <a:ext cx="447240" cy="846045"/>
        </a:xfrm>
        <a:custGeom>
          <a:avLst/>
          <a:gdLst>
            <a:gd name="connsiteX0" fmla="*/ 447240 w 447240"/>
            <a:gd name="connsiteY0" fmla="*/ 846045 h 846045"/>
            <a:gd name="connsiteX1" fmla="*/ 223620 w 447240"/>
            <a:gd name="connsiteY1" fmla="*/ 727523 h 846045"/>
            <a:gd name="connsiteX2" fmla="*/ 223620 w 447240"/>
            <a:gd name="connsiteY2" fmla="*/ 355567 h 846045"/>
            <a:gd name="connsiteX3" fmla="*/ 0 w 447240"/>
            <a:gd name="connsiteY3" fmla="*/ 237045 h 846045"/>
            <a:gd name="connsiteX4" fmla="*/ 223620 w 447240"/>
            <a:gd name="connsiteY4" fmla="*/ 118523 h 846045"/>
            <a:gd name="connsiteX5" fmla="*/ 223620 w 447240"/>
            <a:gd name="connsiteY5" fmla="*/ 118522 h 846045"/>
            <a:gd name="connsiteX6" fmla="*/ 447240 w 447240"/>
            <a:gd name="connsiteY6" fmla="*/ 0 h 846045"/>
            <a:gd name="connsiteX7" fmla="*/ 447240 w 447240"/>
            <a:gd name="connsiteY7" fmla="*/ 846045 h 846045"/>
            <a:gd name="connsiteX0" fmla="*/ 447240 w 447240"/>
            <a:gd name="connsiteY0" fmla="*/ 846045 h 846045"/>
            <a:gd name="connsiteX1" fmla="*/ 223620 w 447240"/>
            <a:gd name="connsiteY1" fmla="*/ 727523 h 846045"/>
            <a:gd name="connsiteX2" fmla="*/ 223620 w 447240"/>
            <a:gd name="connsiteY2" fmla="*/ 355567 h 846045"/>
            <a:gd name="connsiteX3" fmla="*/ 0 w 447240"/>
            <a:gd name="connsiteY3" fmla="*/ 237045 h 846045"/>
            <a:gd name="connsiteX4" fmla="*/ 223620 w 447240"/>
            <a:gd name="connsiteY4" fmla="*/ 118523 h 846045"/>
            <a:gd name="connsiteX5" fmla="*/ 223620 w 447240"/>
            <a:gd name="connsiteY5" fmla="*/ 118522 h 846045"/>
            <a:gd name="connsiteX6" fmla="*/ 447240 w 447240"/>
            <a:gd name="connsiteY6" fmla="*/ 0 h 846045"/>
            <a:gd name="connsiteX0" fmla="*/ 447240 w 447240"/>
            <a:gd name="connsiteY0" fmla="*/ 846045 h 846045"/>
            <a:gd name="connsiteX1" fmla="*/ 223620 w 447240"/>
            <a:gd name="connsiteY1" fmla="*/ 727523 h 846045"/>
            <a:gd name="connsiteX2" fmla="*/ 223620 w 447240"/>
            <a:gd name="connsiteY2" fmla="*/ 355567 h 846045"/>
            <a:gd name="connsiteX3" fmla="*/ 0 w 447240"/>
            <a:gd name="connsiteY3" fmla="*/ 237045 h 846045"/>
            <a:gd name="connsiteX4" fmla="*/ 223620 w 447240"/>
            <a:gd name="connsiteY4" fmla="*/ 118523 h 846045"/>
            <a:gd name="connsiteX5" fmla="*/ 223620 w 447240"/>
            <a:gd name="connsiteY5" fmla="*/ 118522 h 846045"/>
            <a:gd name="connsiteX6" fmla="*/ 447240 w 447240"/>
            <a:gd name="connsiteY6" fmla="*/ 0 h 846045"/>
            <a:gd name="connsiteX7" fmla="*/ 447240 w 447240"/>
            <a:gd name="connsiteY7" fmla="*/ 846045 h 846045"/>
            <a:gd name="connsiteX0" fmla="*/ 447240 w 447240"/>
            <a:gd name="connsiteY0" fmla="*/ 846045 h 846045"/>
            <a:gd name="connsiteX1" fmla="*/ 223620 w 447240"/>
            <a:gd name="connsiteY1" fmla="*/ 727523 h 846045"/>
            <a:gd name="connsiteX2" fmla="*/ 223620 w 447240"/>
            <a:gd name="connsiteY2" fmla="*/ 355567 h 846045"/>
            <a:gd name="connsiteX3" fmla="*/ 223620 w 447240"/>
            <a:gd name="connsiteY3" fmla="*/ 118523 h 846045"/>
            <a:gd name="connsiteX4" fmla="*/ 223620 w 447240"/>
            <a:gd name="connsiteY4" fmla="*/ 118522 h 846045"/>
            <a:gd name="connsiteX5" fmla="*/ 447240 w 447240"/>
            <a:gd name="connsiteY5" fmla="*/ 0 h 8460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47240" h="846045" stroke="0" extrusionOk="0">
              <a:moveTo>
                <a:pt x="447240" y="846045"/>
              </a:moveTo>
              <a:cubicBezTo>
                <a:pt x="323738" y="846045"/>
                <a:pt x="223620" y="792981"/>
                <a:pt x="223620" y="727523"/>
              </a:cubicBezTo>
              <a:lnTo>
                <a:pt x="223620" y="355567"/>
              </a:lnTo>
              <a:cubicBezTo>
                <a:pt x="223620" y="290109"/>
                <a:pt x="123502" y="237045"/>
                <a:pt x="0" y="237045"/>
              </a:cubicBezTo>
              <a:cubicBezTo>
                <a:pt x="123502" y="237045"/>
                <a:pt x="223620" y="183981"/>
                <a:pt x="223620" y="118523"/>
              </a:cubicBezTo>
              <a:lnTo>
                <a:pt x="223620" y="118522"/>
              </a:lnTo>
              <a:cubicBezTo>
                <a:pt x="223620" y="53064"/>
                <a:pt x="323738" y="0"/>
                <a:pt x="447240" y="0"/>
              </a:cubicBezTo>
              <a:lnTo>
                <a:pt x="447240" y="846045"/>
              </a:lnTo>
              <a:close/>
            </a:path>
            <a:path w="447240" h="846045" fill="none">
              <a:moveTo>
                <a:pt x="447240" y="846045"/>
              </a:moveTo>
              <a:cubicBezTo>
                <a:pt x="323738" y="846045"/>
                <a:pt x="223620" y="792981"/>
                <a:pt x="223620" y="727523"/>
              </a:cubicBezTo>
              <a:lnTo>
                <a:pt x="223620" y="355567"/>
              </a:lnTo>
              <a:lnTo>
                <a:pt x="223620" y="118523"/>
              </a:lnTo>
              <a:lnTo>
                <a:pt x="223620" y="118522"/>
              </a:lnTo>
              <a:cubicBezTo>
                <a:pt x="223620" y="53064"/>
                <a:pt x="323738" y="0"/>
                <a:pt x="447240" y="0"/>
              </a:cubicBezTo>
            </a:path>
          </a:pathLst>
        </a:cu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AU" sz="1100"/>
        </a:p>
      </xdr:txBody>
    </xdr:sp>
    <xdr:clientData/>
  </xdr:twoCellAnchor>
  <xdr:twoCellAnchor>
    <xdr:from>
      <xdr:col>14</xdr:col>
      <xdr:colOff>108786</xdr:colOff>
      <xdr:row>8</xdr:row>
      <xdr:rowOff>26064</xdr:rowOff>
    </xdr:from>
    <xdr:to>
      <xdr:col>23</xdr:col>
      <xdr:colOff>23061</xdr:colOff>
      <xdr:row>10</xdr:row>
      <xdr:rowOff>83214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bwMode="auto">
        <a:xfrm>
          <a:off x="7195386" y="1826289"/>
          <a:ext cx="4629150" cy="457200"/>
        </a:xfrm>
        <a:prstGeom prst="rect">
          <a:avLst/>
        </a:prstGeom>
        <a:noFill/>
        <a:ln w="12700">
          <a:noFill/>
          <a:miter lim="800000"/>
          <a:headEnd/>
          <a:tailEnd/>
        </a:ln>
      </xdr:spPr>
      <xdr:txBody>
        <a:bodyPr vertOverflow="clip" horzOverflow="clip" wrap="square" rtlCol="0" anchor="t"/>
        <a:lstStyle/>
        <a:p>
          <a:r>
            <a:rPr lang="en-AU" sz="1100" b="1"/>
            <a:t>Attributes</a:t>
          </a:r>
          <a:r>
            <a:rPr lang="en-AU" sz="1100" b="1" baseline="0"/>
            <a:t> populated from ProjectWise</a:t>
          </a:r>
          <a:endParaRPr lang="en-AU" sz="1100" b="1"/>
        </a:p>
        <a:p>
          <a:r>
            <a:rPr lang="en-AU" sz="1100"/>
            <a:t>(can be modified by ProjectWise -&gt; Properties, or within PW Explorer) </a:t>
          </a:r>
        </a:p>
      </xdr:txBody>
    </xdr:sp>
    <xdr:clientData/>
  </xdr:twoCellAnchor>
  <xdr:twoCellAnchor>
    <xdr:from>
      <xdr:col>13</xdr:col>
      <xdr:colOff>66666</xdr:colOff>
      <xdr:row>7</xdr:row>
      <xdr:rowOff>9522</xdr:rowOff>
    </xdr:from>
    <xdr:to>
      <xdr:col>13</xdr:col>
      <xdr:colOff>511415</xdr:colOff>
      <xdr:row>41</xdr:row>
      <xdr:rowOff>180974</xdr:rowOff>
    </xdr:to>
    <xdr:sp macro="" textlink="">
      <xdr:nvSpPr>
        <xdr:cNvPr id="19" name="Left Brace 18">
          <a:extLst>
            <a:ext uri="{FF2B5EF4-FFF2-40B4-BE49-F238E27FC236}">
              <a16:creationId xmlns:a16="http://schemas.microsoft.com/office/drawing/2014/main" id="{00000000-0008-0000-0000-000013000000}"/>
            </a:ext>
          </a:extLst>
        </xdr:cNvPr>
        <xdr:cNvSpPr/>
      </xdr:nvSpPr>
      <xdr:spPr bwMode="auto">
        <a:xfrm rot="10800000">
          <a:off x="6629391" y="1609722"/>
          <a:ext cx="444749" cy="6972302"/>
        </a:xfrm>
        <a:prstGeom prst="leftBrace">
          <a:avLst>
            <a:gd name="adj1" fmla="val 30584"/>
            <a:gd name="adj2" fmla="val 42495"/>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AU" sz="1100"/>
        </a:p>
      </xdr:txBody>
    </xdr:sp>
    <xdr:clientData/>
  </xdr:twoCellAnchor>
  <xdr:twoCellAnchor>
    <xdr:from>
      <xdr:col>13</xdr:col>
      <xdr:colOff>476250</xdr:colOff>
      <xdr:row>26</xdr:row>
      <xdr:rowOff>85725</xdr:rowOff>
    </xdr:from>
    <xdr:to>
      <xdr:col>24</xdr:col>
      <xdr:colOff>361951</xdr:colOff>
      <xdr:row>28</xdr:row>
      <xdr:rowOff>38100</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bwMode="auto">
        <a:xfrm>
          <a:off x="7038975" y="5486400"/>
          <a:ext cx="5648326" cy="352425"/>
        </a:xfrm>
        <a:prstGeom prst="rect">
          <a:avLst/>
        </a:prstGeom>
        <a:noFill/>
        <a:ln w="12700">
          <a:noFill/>
          <a:miter lim="800000"/>
          <a:headEnd/>
          <a:tailEnd/>
        </a:ln>
      </xdr:spPr>
      <xdr:txBody>
        <a:bodyPr vertOverflow="clip" horzOverflow="clip" wrap="square" rtlCol="0" anchor="t"/>
        <a:lstStyle/>
        <a:p>
          <a:r>
            <a:rPr lang="en-AU" sz="1100" b="1"/>
            <a:t>Initial calculation developer(s) to complete as required</a:t>
          </a:r>
          <a:endParaRPr lang="en-AU" sz="1100"/>
        </a:p>
      </xdr:txBody>
    </xdr:sp>
    <xdr:clientData/>
  </xdr:twoCellAnchor>
  <xdr:twoCellAnchor>
    <xdr:from>
      <xdr:col>13</xdr:col>
      <xdr:colOff>48979</xdr:colOff>
      <xdr:row>53</xdr:row>
      <xdr:rowOff>499</xdr:rowOff>
    </xdr:from>
    <xdr:to>
      <xdr:col>13</xdr:col>
      <xdr:colOff>504323</xdr:colOff>
      <xdr:row>62</xdr:row>
      <xdr:rowOff>9524</xdr:rowOff>
    </xdr:to>
    <xdr:sp macro="" textlink="">
      <xdr:nvSpPr>
        <xdr:cNvPr id="21" name="Left Brace 20">
          <a:extLst>
            <a:ext uri="{FF2B5EF4-FFF2-40B4-BE49-F238E27FC236}">
              <a16:creationId xmlns:a16="http://schemas.microsoft.com/office/drawing/2014/main" id="{00000000-0008-0000-0000-000015000000}"/>
            </a:ext>
          </a:extLst>
        </xdr:cNvPr>
        <xdr:cNvSpPr/>
      </xdr:nvSpPr>
      <xdr:spPr bwMode="auto">
        <a:xfrm rot="10800000">
          <a:off x="6364054" y="10801849"/>
          <a:ext cx="455344" cy="1971175"/>
        </a:xfrm>
        <a:prstGeom prst="leftBrace">
          <a:avLst>
            <a:gd name="adj1" fmla="val 30584"/>
            <a:gd name="adj2" fmla="val 50000"/>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AU" sz="1100"/>
        </a:p>
      </xdr:txBody>
    </xdr:sp>
    <xdr:clientData/>
  </xdr:twoCellAnchor>
  <xdr:twoCellAnchor>
    <xdr:from>
      <xdr:col>13</xdr:col>
      <xdr:colOff>466228</xdr:colOff>
      <xdr:row>56</xdr:row>
      <xdr:rowOff>71614</xdr:rowOff>
    </xdr:from>
    <xdr:to>
      <xdr:col>22</xdr:col>
      <xdr:colOff>323851</xdr:colOff>
      <xdr:row>57</xdr:row>
      <xdr:rowOff>114301</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bwMode="auto">
        <a:xfrm>
          <a:off x="6781303" y="11634964"/>
          <a:ext cx="4401048" cy="242712"/>
        </a:xfrm>
        <a:prstGeom prst="rect">
          <a:avLst/>
        </a:prstGeom>
        <a:noFill/>
        <a:ln w="12700">
          <a:noFill/>
          <a:miter lim="800000"/>
          <a:headEnd/>
          <a:tailEnd/>
        </a:ln>
      </xdr:spPr>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b="1">
              <a:effectLst/>
              <a:latin typeface="+mn-lt"/>
              <a:ea typeface="+mn-ea"/>
              <a:cs typeface="+mn-cs"/>
            </a:rPr>
            <a:t>Populated</a:t>
          </a:r>
          <a:r>
            <a:rPr lang="en-AU" sz="1100" b="1" baseline="0">
              <a:effectLst/>
              <a:latin typeface="+mn-lt"/>
              <a:ea typeface="+mn-ea"/>
              <a:cs typeface="+mn-cs"/>
            </a:rPr>
            <a:t> from ProjectWise - modify in ProjectWise not in document</a:t>
          </a:r>
          <a:endParaRPr lang="en-AU" b="0">
            <a:effectLst/>
          </a:endParaRPr>
        </a:p>
        <a:p>
          <a:endParaRPr lang="en-AU" sz="1100"/>
        </a:p>
      </xdr:txBody>
    </xdr:sp>
    <xdr:clientData/>
  </xdr:twoCellAnchor>
  <mc:AlternateContent xmlns:mc="http://schemas.openxmlformats.org/markup-compatibility/2006">
    <mc:Choice xmlns:a14="http://schemas.microsoft.com/office/drawing/2010/main" Requires="a14">
      <xdr:twoCellAnchor editAs="absolute">
        <xdr:from>
          <xdr:col>17</xdr:col>
          <xdr:colOff>457200</xdr:colOff>
          <xdr:row>3</xdr:row>
          <xdr:rowOff>114300</xdr:rowOff>
        </xdr:from>
        <xdr:to>
          <xdr:col>20</xdr:col>
          <xdr:colOff>381000</xdr:colOff>
          <xdr:row>4</xdr:row>
          <xdr:rowOff>114300</xdr:rowOff>
        </xdr:to>
        <xdr:sp macro="" textlink="">
          <xdr:nvSpPr>
            <xdr:cNvPr id="24653" name="OptionButton6" hidden="1">
              <a:extLst>
                <a:ext uri="{63B3BB69-23CF-44E3-9099-C40C66FF867C}">
                  <a14:compatExt spid="_x0000_s24653"/>
                </a:ext>
                <a:ext uri="{FF2B5EF4-FFF2-40B4-BE49-F238E27FC236}">
                  <a16:creationId xmlns:a16="http://schemas.microsoft.com/office/drawing/2014/main" id="{00000000-0008-0000-0000-00004D6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457200</xdr:colOff>
          <xdr:row>4</xdr:row>
          <xdr:rowOff>198120</xdr:rowOff>
        </xdr:from>
        <xdr:to>
          <xdr:col>20</xdr:col>
          <xdr:colOff>381000</xdr:colOff>
          <xdr:row>5</xdr:row>
          <xdr:rowOff>198120</xdr:rowOff>
        </xdr:to>
        <xdr:sp macro="" textlink="">
          <xdr:nvSpPr>
            <xdr:cNvPr id="24654" name="OptionButton7" hidden="1">
              <a:extLst>
                <a:ext uri="{63B3BB69-23CF-44E3-9099-C40C66FF867C}">
                  <a14:compatExt spid="_x0000_s24654"/>
                </a:ext>
                <a:ext uri="{FF2B5EF4-FFF2-40B4-BE49-F238E27FC236}">
                  <a16:creationId xmlns:a16="http://schemas.microsoft.com/office/drawing/2014/main" id="{00000000-0008-0000-0000-00004E6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0</xdr:col>
      <xdr:colOff>0</xdr:colOff>
      <xdr:row>1</xdr:row>
      <xdr:rowOff>257175</xdr:rowOff>
    </xdr:from>
    <xdr:to>
      <xdr:col>12</xdr:col>
      <xdr:colOff>314100</xdr:colOff>
      <xdr:row>3</xdr:row>
      <xdr:rowOff>2239</xdr:rowOff>
    </xdr:to>
    <xdr:sp macro="" textlink="">
      <xdr:nvSpPr>
        <xdr:cNvPr id="36" name="DisclaimerBox">
          <a:extLst>
            <a:ext uri="{FF2B5EF4-FFF2-40B4-BE49-F238E27FC236}">
              <a16:creationId xmlns:a16="http://schemas.microsoft.com/office/drawing/2014/main" id="{00000000-0008-0000-0000-000024000000}"/>
            </a:ext>
          </a:extLst>
        </xdr:cNvPr>
        <xdr:cNvSpPr txBox="1">
          <a:spLocks noChangeArrowheads="1"/>
        </xdr:cNvSpPr>
      </xdr:nvSpPr>
      <xdr:spPr bwMode="auto">
        <a:xfrm>
          <a:off x="0" y="457200"/>
          <a:ext cx="6372000" cy="211789"/>
        </a:xfrm>
        <a:prstGeom prst="rect">
          <a:avLst/>
        </a:prstGeom>
        <a:noFill/>
        <a:ln w="9525">
          <a:noFill/>
          <a:miter lim="800000"/>
          <a:headEnd/>
          <a:tailEnd/>
        </a:ln>
      </xdr:spPr>
      <xdr:txBody>
        <a:bodyPr vertOverflow="clip" horzOverflow="clip" wrap="none" lIns="0" tIns="0" rIns="0" bIns="0" anchor="ctr" anchorCtr="0" upright="1"/>
        <a:lstStyle/>
        <a:p>
          <a:endParaRPr lang="en-US" sz="8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absolute">
        <xdr:from>
          <xdr:col>17</xdr:col>
          <xdr:colOff>457200</xdr:colOff>
          <xdr:row>6</xdr:row>
          <xdr:rowOff>137160</xdr:rowOff>
        </xdr:from>
        <xdr:to>
          <xdr:col>20</xdr:col>
          <xdr:colOff>388620</xdr:colOff>
          <xdr:row>8</xdr:row>
          <xdr:rowOff>22860</xdr:rowOff>
        </xdr:to>
        <xdr:sp macro="" textlink="">
          <xdr:nvSpPr>
            <xdr:cNvPr id="24656" name="OptionButton8" hidden="1">
              <a:extLst>
                <a:ext uri="{63B3BB69-23CF-44E3-9099-C40C66FF867C}">
                  <a14:compatExt spid="_x0000_s24656"/>
                </a:ext>
                <a:ext uri="{FF2B5EF4-FFF2-40B4-BE49-F238E27FC236}">
                  <a16:creationId xmlns:a16="http://schemas.microsoft.com/office/drawing/2014/main" id="{00000000-0008-0000-0000-0000506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13</xdr:col>
      <xdr:colOff>58504</xdr:colOff>
      <xdr:row>65</xdr:row>
      <xdr:rowOff>9524</xdr:rowOff>
    </xdr:from>
    <xdr:to>
      <xdr:col>13</xdr:col>
      <xdr:colOff>504322</xdr:colOff>
      <xdr:row>71</xdr:row>
      <xdr:rowOff>28573</xdr:rowOff>
    </xdr:to>
    <xdr:sp macro="" textlink="">
      <xdr:nvSpPr>
        <xdr:cNvPr id="23" name="Left Brace 22">
          <a:extLst>
            <a:ext uri="{FF2B5EF4-FFF2-40B4-BE49-F238E27FC236}">
              <a16:creationId xmlns:a16="http://schemas.microsoft.com/office/drawing/2014/main" id="{00000000-0008-0000-0000-000017000000}"/>
            </a:ext>
          </a:extLst>
        </xdr:cNvPr>
        <xdr:cNvSpPr/>
      </xdr:nvSpPr>
      <xdr:spPr bwMode="auto">
        <a:xfrm rot="10800000">
          <a:off x="6373579" y="13373099"/>
          <a:ext cx="445818" cy="1219199"/>
        </a:xfrm>
        <a:prstGeom prst="leftBrace">
          <a:avLst>
            <a:gd name="adj1" fmla="val 30584"/>
            <a:gd name="adj2" fmla="val 50000"/>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AU" sz="1100"/>
        </a:p>
      </xdr:txBody>
    </xdr:sp>
    <xdr:clientData/>
  </xdr:twoCellAnchor>
  <xdr:twoCellAnchor>
    <xdr:from>
      <xdr:col>13</xdr:col>
      <xdr:colOff>471241</xdr:colOff>
      <xdr:row>67</xdr:row>
      <xdr:rowOff>81642</xdr:rowOff>
    </xdr:from>
    <xdr:to>
      <xdr:col>24</xdr:col>
      <xdr:colOff>356942</xdr:colOff>
      <xdr:row>69</xdr:row>
      <xdr:rowOff>34017</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bwMode="auto">
        <a:xfrm>
          <a:off x="6786316" y="13845267"/>
          <a:ext cx="5438776" cy="352425"/>
        </a:xfrm>
        <a:prstGeom prst="rect">
          <a:avLst/>
        </a:prstGeom>
        <a:noFill/>
        <a:ln w="12700">
          <a:noFill/>
          <a:miter lim="800000"/>
          <a:headEnd/>
          <a:tailEnd/>
        </a:ln>
      </xdr:spPr>
      <xdr:txBody>
        <a:bodyPr vertOverflow="clip" horzOverflow="clip" wrap="square" rtlCol="0" anchor="t"/>
        <a:lstStyle/>
        <a:p>
          <a:r>
            <a:rPr lang="en-AU" sz="1100" b="1"/>
            <a:t>Manual entry (not captured in ProjectWise metadata)</a:t>
          </a:r>
          <a:endParaRPr lang="en-AU" sz="1100"/>
        </a:p>
      </xdr:txBody>
    </xdr:sp>
    <xdr:clientData/>
  </xdr:twoCellAnchor>
  <xdr:twoCellAnchor>
    <xdr:from>
      <xdr:col>13</xdr:col>
      <xdr:colOff>66671</xdr:colOff>
      <xdr:row>44</xdr:row>
      <xdr:rowOff>2196</xdr:rowOff>
    </xdr:from>
    <xdr:to>
      <xdr:col>13</xdr:col>
      <xdr:colOff>501893</xdr:colOff>
      <xdr:row>50</xdr:row>
      <xdr:rowOff>114300</xdr:rowOff>
    </xdr:to>
    <xdr:sp macro="" textlink="">
      <xdr:nvSpPr>
        <xdr:cNvPr id="28" name="Left Brace 27">
          <a:extLst>
            <a:ext uri="{FF2B5EF4-FFF2-40B4-BE49-F238E27FC236}">
              <a16:creationId xmlns:a16="http://schemas.microsoft.com/office/drawing/2014/main" id="{00000000-0008-0000-0000-00001C000000}"/>
            </a:ext>
          </a:extLst>
        </xdr:cNvPr>
        <xdr:cNvSpPr/>
      </xdr:nvSpPr>
      <xdr:spPr bwMode="auto">
        <a:xfrm rot="10800000">
          <a:off x="6381746" y="9003321"/>
          <a:ext cx="435222" cy="1312254"/>
        </a:xfrm>
        <a:prstGeom prst="leftBrace">
          <a:avLst>
            <a:gd name="adj1" fmla="val 30584"/>
            <a:gd name="adj2" fmla="val 58434"/>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AU" sz="1100"/>
        </a:p>
      </xdr:txBody>
    </xdr:sp>
    <xdr:clientData/>
  </xdr:twoCellAnchor>
  <xdr:oneCellAnchor>
    <xdr:from>
      <xdr:col>4</xdr:col>
      <xdr:colOff>219075</xdr:colOff>
      <xdr:row>82</xdr:row>
      <xdr:rowOff>28575</xdr:rowOff>
    </xdr:from>
    <xdr:ext cx="1456374" cy="454612"/>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2238375" y="18916650"/>
              <a:ext cx="1456374" cy="454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AU" sz="1100" i="1">
                        <a:solidFill>
                          <a:sysClr val="windowText" lastClr="000000"/>
                        </a:solidFill>
                        <a:latin typeface="Cambria Math"/>
                      </a:rPr>
                      <m:t>𝑥</m:t>
                    </m:r>
                    <m:r>
                      <a:rPr lang="en-AU" sz="1100" i="1">
                        <a:solidFill>
                          <a:sysClr val="windowText" lastClr="000000"/>
                        </a:solidFill>
                        <a:latin typeface="Cambria Math"/>
                      </a:rPr>
                      <m:t>=</m:t>
                    </m:r>
                    <m:f>
                      <m:fPr>
                        <m:ctrlPr>
                          <a:rPr lang="en-AU" sz="1100" i="1">
                            <a:solidFill>
                              <a:sysClr val="windowText" lastClr="000000"/>
                            </a:solidFill>
                            <a:latin typeface="Cambria Math" panose="02040503050406030204" pitchFamily="18" charset="0"/>
                          </a:rPr>
                        </m:ctrlPr>
                      </m:fPr>
                      <m:num>
                        <m:r>
                          <a:rPr lang="en-AU" sz="1100" i="1">
                            <a:solidFill>
                              <a:sysClr val="windowText" lastClr="000000"/>
                            </a:solidFill>
                            <a:latin typeface="Cambria Math"/>
                          </a:rPr>
                          <m:t>−</m:t>
                        </m:r>
                        <m:r>
                          <a:rPr lang="en-AU" sz="1100" i="1">
                            <a:solidFill>
                              <a:sysClr val="windowText" lastClr="000000"/>
                            </a:solidFill>
                            <a:latin typeface="Cambria Math"/>
                          </a:rPr>
                          <m:t>𝑏</m:t>
                        </m:r>
                        <m:r>
                          <a:rPr lang="en-AU" sz="1100" i="1">
                            <a:solidFill>
                              <a:sysClr val="windowText" lastClr="000000"/>
                            </a:solidFill>
                            <a:latin typeface="Cambria Math"/>
                          </a:rPr>
                          <m:t>±</m:t>
                        </m:r>
                        <m:rad>
                          <m:radPr>
                            <m:degHide m:val="on"/>
                            <m:ctrlPr>
                              <a:rPr lang="en-AU" sz="1100" i="1">
                                <a:solidFill>
                                  <a:sysClr val="windowText" lastClr="000000"/>
                                </a:solidFill>
                                <a:latin typeface="Cambria Math" panose="02040503050406030204" pitchFamily="18" charset="0"/>
                              </a:rPr>
                            </m:ctrlPr>
                          </m:radPr>
                          <m:deg/>
                          <m:e>
                            <m:sSup>
                              <m:sSupPr>
                                <m:ctrlPr>
                                  <a:rPr lang="en-AU" sz="1100" i="1">
                                    <a:solidFill>
                                      <a:sysClr val="windowText" lastClr="000000"/>
                                    </a:solidFill>
                                    <a:latin typeface="Cambria Math" panose="02040503050406030204" pitchFamily="18" charset="0"/>
                                  </a:rPr>
                                </m:ctrlPr>
                              </m:sSupPr>
                              <m:e>
                                <m:r>
                                  <a:rPr lang="en-AU" sz="1100" i="1">
                                    <a:solidFill>
                                      <a:sysClr val="windowText" lastClr="000000"/>
                                    </a:solidFill>
                                    <a:latin typeface="Cambria Math"/>
                                  </a:rPr>
                                  <m:t>𝑏</m:t>
                                </m:r>
                              </m:e>
                              <m:sup>
                                <m:r>
                                  <a:rPr lang="en-AU" sz="1100" i="1">
                                    <a:solidFill>
                                      <a:sysClr val="windowText" lastClr="000000"/>
                                    </a:solidFill>
                                    <a:latin typeface="Cambria Math"/>
                                  </a:rPr>
                                  <m:t>2</m:t>
                                </m:r>
                              </m:sup>
                            </m:sSup>
                            <m:r>
                              <a:rPr lang="en-AU" sz="1100" i="1">
                                <a:solidFill>
                                  <a:sysClr val="windowText" lastClr="000000"/>
                                </a:solidFill>
                                <a:latin typeface="Cambria Math"/>
                              </a:rPr>
                              <m:t>−4</m:t>
                            </m:r>
                            <m:r>
                              <a:rPr lang="en-AU" sz="1100" i="1">
                                <a:solidFill>
                                  <a:sysClr val="windowText" lastClr="000000"/>
                                </a:solidFill>
                                <a:latin typeface="Cambria Math"/>
                              </a:rPr>
                              <m:t>𝑎𝑐</m:t>
                            </m:r>
                          </m:e>
                        </m:rad>
                      </m:num>
                      <m:den>
                        <m:r>
                          <a:rPr lang="en-AU" sz="1100" i="1">
                            <a:solidFill>
                              <a:sysClr val="windowText" lastClr="000000"/>
                            </a:solidFill>
                            <a:latin typeface="Cambria Math"/>
                          </a:rPr>
                          <m:t>2</m:t>
                        </m:r>
                        <m:r>
                          <a:rPr lang="en-AU" sz="1100" i="1">
                            <a:solidFill>
                              <a:sysClr val="windowText" lastClr="000000"/>
                            </a:solidFill>
                            <a:latin typeface="Cambria Math"/>
                          </a:rPr>
                          <m:t>𝑎</m:t>
                        </m:r>
                      </m:den>
                    </m:f>
                  </m:oMath>
                </m:oMathPara>
              </a14:m>
              <a:endParaRPr lang="en-AU" sz="1100">
                <a:solidFill>
                  <a:sysClr val="windowText" lastClr="000000"/>
                </a:solidFill>
              </a:endParaRPr>
            </a:p>
          </xdr:txBody>
        </xdr:sp>
      </mc:Choice>
      <mc:Fallback xmlns="">
        <xdr:sp macro="" textlink="">
          <xdr:nvSpPr>
            <xdr:cNvPr id="31" name="TextBox 30"/>
            <xdr:cNvSpPr txBox="1"/>
          </xdr:nvSpPr>
          <xdr:spPr>
            <a:xfrm>
              <a:off x="2238375" y="18916650"/>
              <a:ext cx="1456374" cy="4546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100" i="0">
                  <a:solidFill>
                    <a:sysClr val="windowText" lastClr="000000"/>
                  </a:solidFill>
                  <a:latin typeface="Cambria Math"/>
                </a:rPr>
                <a:t>𝑥=(−𝑏±√(𝑏^2−4𝑎𝑐))/2𝑎</a:t>
              </a:r>
              <a:endParaRPr lang="en-AU" sz="1100">
                <a:solidFill>
                  <a:sysClr val="windowText" lastClr="000000"/>
                </a:solidFill>
              </a:endParaRPr>
            </a:p>
          </xdr:txBody>
        </xdr:sp>
      </mc:Fallback>
    </mc:AlternateContent>
    <xdr:clientData/>
  </xdr:oneCellAnchor>
  <xdr:twoCellAnchor>
    <xdr:from>
      <xdr:col>13</xdr:col>
      <xdr:colOff>47622</xdr:colOff>
      <xdr:row>73</xdr:row>
      <xdr:rowOff>500</xdr:rowOff>
    </xdr:from>
    <xdr:to>
      <xdr:col>13</xdr:col>
      <xdr:colOff>523874</xdr:colOff>
      <xdr:row>89</xdr:row>
      <xdr:rowOff>171449</xdr:rowOff>
    </xdr:to>
    <xdr:sp macro="" textlink="">
      <xdr:nvSpPr>
        <xdr:cNvPr id="32" name="Left Brace 31">
          <a:extLst>
            <a:ext uri="{FF2B5EF4-FFF2-40B4-BE49-F238E27FC236}">
              <a16:creationId xmlns:a16="http://schemas.microsoft.com/office/drawing/2014/main" id="{00000000-0008-0000-0000-000020000000}"/>
            </a:ext>
          </a:extLst>
        </xdr:cNvPr>
        <xdr:cNvSpPr/>
      </xdr:nvSpPr>
      <xdr:spPr bwMode="auto">
        <a:xfrm rot="10800000">
          <a:off x="6610347" y="14964275"/>
          <a:ext cx="476252" cy="3371349"/>
        </a:xfrm>
        <a:prstGeom prst="leftBrace">
          <a:avLst>
            <a:gd name="adj1" fmla="val 30584"/>
            <a:gd name="adj2" fmla="val 50000"/>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AU" sz="1100"/>
        </a:p>
      </xdr:txBody>
    </xdr:sp>
    <xdr:clientData/>
  </xdr:twoCellAnchor>
  <xdr:twoCellAnchor>
    <xdr:from>
      <xdr:col>13</xdr:col>
      <xdr:colOff>471241</xdr:colOff>
      <xdr:row>80</xdr:row>
      <xdr:rowOff>138792</xdr:rowOff>
    </xdr:from>
    <xdr:to>
      <xdr:col>24</xdr:col>
      <xdr:colOff>356942</xdr:colOff>
      <xdr:row>82</xdr:row>
      <xdr:rowOff>0</xdr:rowOff>
    </xdr:to>
    <xdr:sp macro="" textlink="">
      <xdr:nvSpPr>
        <xdr:cNvPr id="33" name="TextBox 32">
          <a:extLst>
            <a:ext uri="{FF2B5EF4-FFF2-40B4-BE49-F238E27FC236}">
              <a16:creationId xmlns:a16="http://schemas.microsoft.com/office/drawing/2014/main" id="{00000000-0008-0000-0000-000021000000}"/>
            </a:ext>
          </a:extLst>
        </xdr:cNvPr>
        <xdr:cNvSpPr txBox="1"/>
      </xdr:nvSpPr>
      <xdr:spPr bwMode="auto">
        <a:xfrm>
          <a:off x="7033966" y="16502742"/>
          <a:ext cx="5648326" cy="261258"/>
        </a:xfrm>
        <a:prstGeom prst="rect">
          <a:avLst/>
        </a:prstGeom>
        <a:noFill/>
        <a:ln w="12700">
          <a:noFill/>
          <a:miter lim="800000"/>
          <a:headEnd/>
          <a:tailEnd/>
        </a:ln>
      </xdr:spPr>
      <xdr:txBody>
        <a:bodyPr vertOverflow="clip" horzOverflow="clip" wrap="square" rtlCol="0" anchor="t"/>
        <a:lstStyle/>
        <a:p>
          <a:r>
            <a:rPr lang="en-AU" sz="1100" b="1">
              <a:latin typeface="+mn-lt"/>
              <a:ea typeface="+mn-ea"/>
              <a:cs typeface="+mn-cs"/>
            </a:rPr>
            <a:t>Take note of these requirements</a:t>
          </a:r>
        </a:p>
      </xdr:txBody>
    </xdr:sp>
    <xdr:clientData/>
  </xdr:twoCellAnchor>
  <xdr:twoCellAnchor>
    <xdr:from>
      <xdr:col>13</xdr:col>
      <xdr:colOff>465992</xdr:colOff>
      <xdr:row>46</xdr:row>
      <xdr:rowOff>9525</xdr:rowOff>
    </xdr:from>
    <xdr:to>
      <xdr:col>24</xdr:col>
      <xdr:colOff>351693</xdr:colOff>
      <xdr:row>47</xdr:row>
      <xdr:rowOff>161925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bwMode="auto">
        <a:xfrm>
          <a:off x="6781067" y="9410700"/>
          <a:ext cx="5438776" cy="352425"/>
        </a:xfrm>
        <a:prstGeom prst="rect">
          <a:avLst/>
        </a:prstGeom>
        <a:noFill/>
        <a:ln w="12700">
          <a:noFill/>
          <a:miter lim="800000"/>
          <a:headEnd/>
          <a:tailEnd/>
        </a:ln>
      </xdr:spPr>
      <xdr:txBody>
        <a:bodyPr vertOverflow="clip" horzOverflow="clip" wrap="square" rtlCol="0" anchor="t"/>
        <a:lstStyle/>
        <a:p>
          <a:r>
            <a:rPr lang="en-AU" sz="1100" b="1"/>
            <a:t>For user developed spreadsheets, insert your personal work email address</a:t>
          </a:r>
          <a:endParaRPr lang="en-AU" sz="1100"/>
        </a:p>
      </xdr:txBody>
    </xdr:sp>
    <xdr:clientData/>
  </xdr:twoCellAnchor>
  <xdr:twoCellAnchor>
    <xdr:from>
      <xdr:col>14</xdr:col>
      <xdr:colOff>102270</xdr:colOff>
      <xdr:row>10</xdr:row>
      <xdr:rowOff>152387</xdr:rowOff>
    </xdr:from>
    <xdr:to>
      <xdr:col>24</xdr:col>
      <xdr:colOff>42113</xdr:colOff>
      <xdr:row>13</xdr:row>
      <xdr:rowOff>0</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bwMode="auto">
        <a:xfrm>
          <a:off x="7169820" y="2752712"/>
          <a:ext cx="4988093" cy="447688"/>
        </a:xfrm>
        <a:prstGeom prst="rect">
          <a:avLst/>
        </a:prstGeom>
        <a:noFill/>
        <a:ln w="12700">
          <a:noFill/>
          <a:miter lim="800000"/>
          <a:headEnd/>
          <a:tailEnd/>
        </a:ln>
      </xdr:spPr>
      <xdr:txBody>
        <a:bodyPr vertOverflow="clip" horzOverflow="clip" wrap="square" rtlCol="0" anchor="t"/>
        <a:lstStyle/>
        <a:p>
          <a:r>
            <a:rPr lang="en-AU" sz="1100" b="1"/>
            <a:t>Spreadsheet user to select the appropriate company logo from the following</a:t>
          </a:r>
        </a:p>
        <a:p>
          <a:pPr marL="0" marR="0" indent="0" defTabSz="914400" eaLnBrk="1" fontAlgn="auto" latinLnBrk="0" hangingPunct="1">
            <a:lnSpc>
              <a:spcPct val="100000"/>
            </a:lnSpc>
            <a:spcBef>
              <a:spcPts val="0"/>
            </a:spcBef>
            <a:spcAft>
              <a:spcPts val="0"/>
            </a:spcAft>
            <a:buClrTx/>
            <a:buSzTx/>
            <a:buFontTx/>
            <a:buNone/>
            <a:tabLst/>
            <a:defRPr/>
          </a:pPr>
          <a:r>
            <a:rPr lang="en-AU" sz="1100">
              <a:effectLst/>
              <a:latin typeface="+mn-lt"/>
              <a:ea typeface="+mn-ea"/>
              <a:cs typeface="+mn-cs"/>
            </a:rPr>
            <a:t>(Logo is in spreadsheet footer,</a:t>
          </a:r>
          <a:r>
            <a:rPr lang="en-AU" sz="1100" baseline="0">
              <a:effectLst/>
              <a:latin typeface="+mn-lt"/>
              <a:ea typeface="+mn-ea"/>
              <a:cs typeface="+mn-cs"/>
            </a:rPr>
            <a:t> so is only visible in print preview / Page layout view</a:t>
          </a:r>
          <a:r>
            <a:rPr lang="en-AU" sz="1100">
              <a:effectLst/>
              <a:latin typeface="+mn-lt"/>
              <a:ea typeface="+mn-ea"/>
              <a:cs typeface="+mn-cs"/>
            </a:rPr>
            <a:t>) </a:t>
          </a:r>
          <a:endParaRPr lang="en-GB">
            <a:effectLst/>
          </a:endParaRPr>
        </a:p>
        <a:p>
          <a:endParaRPr lang="en-AU" sz="1100"/>
        </a:p>
      </xdr:txBody>
    </xdr:sp>
    <xdr:clientData/>
  </xdr:twoCellAnchor>
  <xdr:twoCellAnchor>
    <xdr:from>
      <xdr:col>14</xdr:col>
      <xdr:colOff>121321</xdr:colOff>
      <xdr:row>1</xdr:row>
      <xdr:rowOff>66675</xdr:rowOff>
    </xdr:from>
    <xdr:to>
      <xdr:col>24</xdr:col>
      <xdr:colOff>61164</xdr:colOff>
      <xdr:row>2</xdr:row>
      <xdr:rowOff>150383</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bwMode="auto">
        <a:xfrm>
          <a:off x="7207921" y="266700"/>
          <a:ext cx="5178593" cy="226583"/>
        </a:xfrm>
        <a:prstGeom prst="rect">
          <a:avLst/>
        </a:prstGeom>
        <a:noFill/>
        <a:ln w="12700">
          <a:noFill/>
          <a:miter lim="800000"/>
          <a:headEnd/>
          <a:tailEnd/>
        </a:ln>
      </xdr:spPr>
      <xdr:txBody>
        <a:bodyPr vertOverflow="clip" horzOverflow="clip" wrap="square" rtlCol="0" anchor="t"/>
        <a:lstStyle/>
        <a:p>
          <a:r>
            <a:rPr lang="en-AU" sz="1100" b="1"/>
            <a:t>select the appropriate disclaimer from the following</a:t>
          </a:r>
          <a:endParaRPr lang="en-AU" sz="1100"/>
        </a:p>
      </xdr:txBody>
    </xdr:sp>
    <xdr:clientData/>
  </xdr:twoCellAnchor>
  <mc:AlternateContent xmlns:mc="http://schemas.openxmlformats.org/markup-compatibility/2006">
    <mc:Choice xmlns:a14="http://schemas.microsoft.com/office/drawing/2010/main" Requires="a14">
      <xdr:twoCellAnchor editAs="absolute">
        <xdr:from>
          <xdr:col>18</xdr:col>
          <xdr:colOff>22860</xdr:colOff>
          <xdr:row>13</xdr:row>
          <xdr:rowOff>45720</xdr:rowOff>
        </xdr:from>
        <xdr:to>
          <xdr:col>20</xdr:col>
          <xdr:colOff>373380</xdr:colOff>
          <xdr:row>14</xdr:row>
          <xdr:rowOff>137160</xdr:rowOff>
        </xdr:to>
        <xdr:sp macro="" textlink="">
          <xdr:nvSpPr>
            <xdr:cNvPr id="24657" name="Button 4177" hidden="1">
              <a:extLst>
                <a:ext uri="{63B3BB69-23CF-44E3-9099-C40C66FF867C}">
                  <a14:compatExt spid="_x0000_s24657"/>
                </a:ext>
                <a:ext uri="{FF2B5EF4-FFF2-40B4-BE49-F238E27FC236}">
                  <a16:creationId xmlns:a16="http://schemas.microsoft.com/office/drawing/2014/main" id="{00000000-0008-0000-0000-00005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Aurecon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22860</xdr:colOff>
          <xdr:row>15</xdr:row>
          <xdr:rowOff>76200</xdr:rowOff>
        </xdr:from>
        <xdr:to>
          <xdr:col>20</xdr:col>
          <xdr:colOff>373380</xdr:colOff>
          <xdr:row>16</xdr:row>
          <xdr:rowOff>160020</xdr:rowOff>
        </xdr:to>
        <xdr:sp macro="" textlink="">
          <xdr:nvSpPr>
            <xdr:cNvPr id="24658" name="Button 4178" hidden="1">
              <a:extLst>
                <a:ext uri="{63B3BB69-23CF-44E3-9099-C40C66FF867C}">
                  <a14:compatExt spid="_x0000_s24658"/>
                </a:ext>
                <a:ext uri="{FF2B5EF4-FFF2-40B4-BE49-F238E27FC236}">
                  <a16:creationId xmlns:a16="http://schemas.microsoft.com/office/drawing/2014/main" id="{00000000-0008-0000-0000-000052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Aurecon Advisory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22860</xdr:colOff>
          <xdr:row>17</xdr:row>
          <xdr:rowOff>106680</xdr:rowOff>
        </xdr:from>
        <xdr:to>
          <xdr:col>20</xdr:col>
          <xdr:colOff>373380</xdr:colOff>
          <xdr:row>18</xdr:row>
          <xdr:rowOff>190500</xdr:rowOff>
        </xdr:to>
        <xdr:sp macro="" textlink="">
          <xdr:nvSpPr>
            <xdr:cNvPr id="24659" name="Button 4179" hidden="1">
              <a:extLst>
                <a:ext uri="{63B3BB69-23CF-44E3-9099-C40C66FF867C}">
                  <a14:compatExt spid="_x0000_s24659"/>
                </a:ext>
                <a:ext uri="{FF2B5EF4-FFF2-40B4-BE49-F238E27FC236}">
                  <a16:creationId xmlns:a16="http://schemas.microsoft.com/office/drawing/2014/main" id="{00000000-0008-0000-00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Aurecon Hatch</a:t>
              </a:r>
            </a:p>
          </xdr:txBody>
        </xdr:sp>
        <xdr:clientData fPrintsWithSheet="0"/>
      </xdr:twoCellAnchor>
    </mc:Choice>
    <mc:Fallback/>
  </mc:AlternateContent>
  <xdr:twoCellAnchor>
    <xdr:from>
      <xdr:col>13</xdr:col>
      <xdr:colOff>38100</xdr:colOff>
      <xdr:row>1</xdr:row>
      <xdr:rowOff>219074</xdr:rowOff>
    </xdr:from>
    <xdr:to>
      <xdr:col>14</xdr:col>
      <xdr:colOff>57149</xdr:colOff>
      <xdr:row>2</xdr:row>
      <xdr:rowOff>133349</xdr:rowOff>
    </xdr:to>
    <xdr:sp macro="" textlink="">
      <xdr:nvSpPr>
        <xdr:cNvPr id="4" name="Left Arrow 3">
          <a:extLst>
            <a:ext uri="{FF2B5EF4-FFF2-40B4-BE49-F238E27FC236}">
              <a16:creationId xmlns:a16="http://schemas.microsoft.com/office/drawing/2014/main" id="{00000000-0008-0000-0000-000004000000}"/>
            </a:ext>
          </a:extLst>
        </xdr:cNvPr>
        <xdr:cNvSpPr/>
      </xdr:nvSpPr>
      <xdr:spPr bwMode="auto">
        <a:xfrm>
          <a:off x="6600825" y="419099"/>
          <a:ext cx="523874" cy="180975"/>
        </a:xfrm>
        <a:prstGeom prst="leftArrow">
          <a:avLst/>
        </a:prstGeom>
        <a:no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GB" sz="1100"/>
        </a:p>
      </xdr:txBody>
    </xdr:sp>
    <xdr:clientData/>
  </xdr:twoCellAnchor>
  <xdr:twoCellAnchor>
    <xdr:from>
      <xdr:col>13</xdr:col>
      <xdr:colOff>270677</xdr:colOff>
      <xdr:row>4</xdr:row>
      <xdr:rowOff>215928</xdr:rowOff>
    </xdr:from>
    <xdr:to>
      <xdr:col>14</xdr:col>
      <xdr:colOff>108785</xdr:colOff>
      <xdr:row>9</xdr:row>
      <xdr:rowOff>54639</xdr:rowOff>
    </xdr:to>
    <xdr:cxnSp macro="">
      <xdr:nvCxnSpPr>
        <xdr:cNvPr id="6" name="Straight Connector 5">
          <a:extLst>
            <a:ext uri="{FF2B5EF4-FFF2-40B4-BE49-F238E27FC236}">
              <a16:creationId xmlns:a16="http://schemas.microsoft.com/office/drawing/2014/main" id="{00000000-0008-0000-0000-000006000000}"/>
            </a:ext>
          </a:extLst>
        </xdr:cNvPr>
        <xdr:cNvCxnSpPr>
          <a:stCxn id="2" idx="2"/>
          <a:endCxn id="3" idx="1"/>
        </xdr:cNvCxnSpPr>
      </xdr:nvCxnSpPr>
      <xdr:spPr bwMode="auto">
        <a:xfrm rot="10800000" flipH="1" flipV="1">
          <a:off x="6833402" y="1044603"/>
          <a:ext cx="361983" cy="1010286"/>
        </a:xfrm>
        <a:prstGeom prst="bentConnector3">
          <a:avLst>
            <a:gd name="adj1" fmla="val 51371"/>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mc:AlternateContent xmlns:mc="http://schemas.openxmlformats.org/markup-compatibility/2006">
    <mc:Choice xmlns:a14="http://schemas.microsoft.com/office/drawing/2010/main" Requires="a14">
      <xdr:twoCellAnchor editAs="absolute">
        <xdr:from>
          <xdr:col>18</xdr:col>
          <xdr:colOff>22860</xdr:colOff>
          <xdr:row>19</xdr:row>
          <xdr:rowOff>137160</xdr:rowOff>
        </xdr:from>
        <xdr:to>
          <xdr:col>20</xdr:col>
          <xdr:colOff>373380</xdr:colOff>
          <xdr:row>21</xdr:row>
          <xdr:rowOff>22860</xdr:rowOff>
        </xdr:to>
        <xdr:sp macro="" textlink="">
          <xdr:nvSpPr>
            <xdr:cNvPr id="24660" name="Button 4180" hidden="1">
              <a:extLst>
                <a:ext uri="{63B3BB69-23CF-44E3-9099-C40C66FF867C}">
                  <a14:compatExt spid="_x0000_s24660"/>
                </a:ext>
                <a:ext uri="{FF2B5EF4-FFF2-40B4-BE49-F238E27FC236}">
                  <a16:creationId xmlns:a16="http://schemas.microsoft.com/office/drawing/2014/main" id="{00000000-0008-0000-0000-000054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JK Aurecon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18</xdr:col>
          <xdr:colOff>22860</xdr:colOff>
          <xdr:row>24</xdr:row>
          <xdr:rowOff>99060</xdr:rowOff>
        </xdr:from>
        <xdr:to>
          <xdr:col>20</xdr:col>
          <xdr:colOff>373380</xdr:colOff>
          <xdr:row>25</xdr:row>
          <xdr:rowOff>182880</xdr:rowOff>
        </xdr:to>
        <xdr:sp macro="" textlink="">
          <xdr:nvSpPr>
            <xdr:cNvPr id="24661" name="Button 4181" hidden="1">
              <a:extLst>
                <a:ext uri="{63B3BB69-23CF-44E3-9099-C40C66FF867C}">
                  <a14:compatExt spid="_x0000_s24661"/>
                </a:ext>
                <a:ext uri="{FF2B5EF4-FFF2-40B4-BE49-F238E27FC236}">
                  <a16:creationId xmlns:a16="http://schemas.microsoft.com/office/drawing/2014/main" id="{00000000-0008-0000-0000-000055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Update headers</a:t>
              </a:r>
            </a:p>
          </xdr:txBody>
        </xdr:sp>
        <xdr:clientData fPrintsWithSheet="0"/>
      </xdr:twoCellAnchor>
    </mc:Choice>
    <mc:Fallback/>
  </mc:AlternateContent>
  <xdr:twoCellAnchor>
    <xdr:from>
      <xdr:col>14</xdr:col>
      <xdr:colOff>219075</xdr:colOff>
      <xdr:row>22</xdr:row>
      <xdr:rowOff>38099</xdr:rowOff>
    </xdr:from>
    <xdr:to>
      <xdr:col>24</xdr:col>
      <xdr:colOff>400050</xdr:colOff>
      <xdr:row>24</xdr:row>
      <xdr:rowOff>76200</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bwMode="auto">
        <a:xfrm>
          <a:off x="7305675" y="4638674"/>
          <a:ext cx="5419725" cy="438151"/>
        </a:xfrm>
        <a:prstGeom prst="rect">
          <a:avLst/>
        </a:prstGeom>
        <a:noFill/>
        <a:ln w="12700">
          <a:noFill/>
          <a:miter lim="800000"/>
          <a:headEnd/>
          <a:tailEnd/>
        </a:ln>
      </xdr:spPr>
      <xdr:txBody>
        <a:bodyPr vertOverflow="clip" horzOverflow="clip" wrap="square" rtlCol="0" anchor="t"/>
        <a:lstStyle/>
        <a:p>
          <a:r>
            <a:rPr lang="en-AU" sz="1100" b="1"/>
            <a:t>User may update header and footer</a:t>
          </a:r>
          <a:r>
            <a:rPr lang="en-AU" sz="1100" b="1" baseline="0"/>
            <a:t> </a:t>
          </a:r>
          <a:r>
            <a:rPr lang="en-AU" sz="1100" b="1"/>
            <a:t>to all sheets by clicking below (if</a:t>
          </a:r>
          <a:r>
            <a:rPr lang="en-AU" sz="1100" b="1" baseline="0"/>
            <a:t> not automatically updating)</a:t>
          </a:r>
          <a:endParaRPr lang="en-AU" sz="1100"/>
        </a:p>
      </xdr:txBody>
    </xdr:sp>
    <xdr:clientData/>
  </xdr:twoCellAnchor>
  <xdr:twoCellAnchor>
    <xdr:from>
      <xdr:col>4</xdr:col>
      <xdr:colOff>495301</xdr:colOff>
      <xdr:row>138</xdr:row>
      <xdr:rowOff>114300</xdr:rowOff>
    </xdr:from>
    <xdr:to>
      <xdr:col>8</xdr:col>
      <xdr:colOff>38100</xdr:colOff>
      <xdr:row>139</xdr:row>
      <xdr:rowOff>28575</xdr:rowOff>
    </xdr:to>
    <xdr:cxnSp macro="">
      <xdr:nvCxnSpPr>
        <xdr:cNvPr id="38" name="Straight Arrow Connector 37">
          <a:extLst>
            <a:ext uri="{FF2B5EF4-FFF2-40B4-BE49-F238E27FC236}">
              <a16:creationId xmlns:a16="http://schemas.microsoft.com/office/drawing/2014/main" id="{00000000-0008-0000-0000-000026000000}"/>
            </a:ext>
          </a:extLst>
        </xdr:cNvPr>
        <xdr:cNvCxnSpPr/>
      </xdr:nvCxnSpPr>
      <xdr:spPr bwMode="auto">
        <a:xfrm flipH="1">
          <a:off x="2590801" y="14239875"/>
          <a:ext cx="1638299" cy="114300"/>
        </a:xfrm>
        <a:prstGeom prst="straightConnector1">
          <a:avLst/>
        </a:prstGeom>
        <a:solidFill>
          <a:srgbClr val="FFFFFF"/>
        </a:solidFill>
        <a:ln w="9525" cap="flat" cmpd="sng" algn="ctr">
          <a:solidFill>
            <a:srgbClr val="000000"/>
          </a:solidFill>
          <a:prstDash val="solid"/>
          <a:round/>
          <a:headEnd type="none" w="med" len="med"/>
          <a:tailEnd type="triangle"/>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216226</xdr:colOff>
      <xdr:row>21</xdr:row>
      <xdr:rowOff>46718</xdr:rowOff>
    </xdr:from>
    <xdr:to>
      <xdr:col>2</xdr:col>
      <xdr:colOff>26670</xdr:colOff>
      <xdr:row>28</xdr:row>
      <xdr:rowOff>120016</xdr:rowOff>
    </xdr:to>
    <xdr:grpSp>
      <xdr:nvGrpSpPr>
        <xdr:cNvPr id="324" name="Group 323">
          <a:extLst>
            <a:ext uri="{FF2B5EF4-FFF2-40B4-BE49-F238E27FC236}">
              <a16:creationId xmlns:a16="http://schemas.microsoft.com/office/drawing/2014/main" id="{00000000-0008-0000-0100-000044010000}"/>
            </a:ext>
          </a:extLst>
        </xdr:cNvPr>
        <xdr:cNvGrpSpPr/>
      </xdr:nvGrpSpPr>
      <xdr:grpSpPr>
        <a:xfrm>
          <a:off x="216226" y="3978638"/>
          <a:ext cx="740084" cy="1254398"/>
          <a:chOff x="1274747" y="2670561"/>
          <a:chExt cx="1039739" cy="1402934"/>
        </a:xfrm>
      </xdr:grpSpPr>
      <xdr:sp macro="" textlink="">
        <xdr:nvSpPr>
          <xdr:cNvPr id="325" name="Right Triangle 324">
            <a:extLst>
              <a:ext uri="{FF2B5EF4-FFF2-40B4-BE49-F238E27FC236}">
                <a16:creationId xmlns:a16="http://schemas.microsoft.com/office/drawing/2014/main" id="{00000000-0008-0000-0100-000045010000}"/>
              </a:ext>
            </a:extLst>
          </xdr:cNvPr>
          <xdr:cNvSpPr/>
        </xdr:nvSpPr>
        <xdr:spPr>
          <a:xfrm>
            <a:off x="1274747" y="2670561"/>
            <a:ext cx="997009" cy="1402934"/>
          </a:xfrm>
          <a:prstGeom prst="rtTriangle">
            <a:avLst/>
          </a:prstGeom>
          <a:solidFill>
            <a:schemeClr val="accent2">
              <a:lumMod val="40000"/>
              <a:lumOff val="60000"/>
              <a:alpha val="36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
        <xdr:nvCxnSpPr>
          <xdr:cNvPr id="326" name="Straight Arrow Connector 325">
            <a:extLst>
              <a:ext uri="{FF2B5EF4-FFF2-40B4-BE49-F238E27FC236}">
                <a16:creationId xmlns:a16="http://schemas.microsoft.com/office/drawing/2014/main" id="{00000000-0008-0000-0100-000046010000}"/>
              </a:ext>
            </a:extLst>
          </xdr:cNvPr>
          <xdr:cNvCxnSpPr/>
        </xdr:nvCxnSpPr>
        <xdr:spPr>
          <a:xfrm flipH="1">
            <a:off x="1452785" y="3510897"/>
            <a:ext cx="861701" cy="1780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21579</xdr:colOff>
      <xdr:row>21</xdr:row>
      <xdr:rowOff>10468</xdr:rowOff>
    </xdr:from>
    <xdr:to>
      <xdr:col>5</xdr:col>
      <xdr:colOff>34291</xdr:colOff>
      <xdr:row>29</xdr:row>
      <xdr:rowOff>20955</xdr:rowOff>
    </xdr:to>
    <xdr:grpSp>
      <xdr:nvGrpSpPr>
        <xdr:cNvPr id="327" name="Group 326">
          <a:extLst>
            <a:ext uri="{FF2B5EF4-FFF2-40B4-BE49-F238E27FC236}">
              <a16:creationId xmlns:a16="http://schemas.microsoft.com/office/drawing/2014/main" id="{00000000-0008-0000-0100-000047010000}"/>
            </a:ext>
          </a:extLst>
        </xdr:cNvPr>
        <xdr:cNvGrpSpPr/>
      </xdr:nvGrpSpPr>
      <xdr:grpSpPr>
        <a:xfrm>
          <a:off x="1416039" y="3942388"/>
          <a:ext cx="942352" cy="1321127"/>
          <a:chOff x="1274747" y="2670561"/>
          <a:chExt cx="1039739" cy="1402934"/>
        </a:xfrm>
      </xdr:grpSpPr>
      <xdr:sp macro="" textlink="">
        <xdr:nvSpPr>
          <xdr:cNvPr id="328" name="Right Triangle 327">
            <a:extLst>
              <a:ext uri="{FF2B5EF4-FFF2-40B4-BE49-F238E27FC236}">
                <a16:creationId xmlns:a16="http://schemas.microsoft.com/office/drawing/2014/main" id="{00000000-0008-0000-0100-000048010000}"/>
              </a:ext>
            </a:extLst>
          </xdr:cNvPr>
          <xdr:cNvSpPr/>
        </xdr:nvSpPr>
        <xdr:spPr>
          <a:xfrm>
            <a:off x="1274747" y="2670561"/>
            <a:ext cx="997009" cy="1402934"/>
          </a:xfrm>
          <a:prstGeom prst="rtTriangle">
            <a:avLst/>
          </a:prstGeom>
          <a:solidFill>
            <a:schemeClr val="tx2">
              <a:lumMod val="60000"/>
              <a:lumOff val="40000"/>
              <a:alpha val="36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
        <xdr:nvCxnSpPr>
          <xdr:cNvPr id="329" name="Straight Arrow Connector 328">
            <a:extLst>
              <a:ext uri="{FF2B5EF4-FFF2-40B4-BE49-F238E27FC236}">
                <a16:creationId xmlns:a16="http://schemas.microsoft.com/office/drawing/2014/main" id="{00000000-0008-0000-0100-000049010000}"/>
              </a:ext>
            </a:extLst>
          </xdr:cNvPr>
          <xdr:cNvCxnSpPr/>
        </xdr:nvCxnSpPr>
        <xdr:spPr>
          <a:xfrm flipH="1">
            <a:off x="1452785" y="3510897"/>
            <a:ext cx="861701" cy="1780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17039</xdr:colOff>
      <xdr:row>21</xdr:row>
      <xdr:rowOff>6213</xdr:rowOff>
    </xdr:from>
    <xdr:to>
      <xdr:col>7</xdr:col>
      <xdr:colOff>447675</xdr:colOff>
      <xdr:row>28</xdr:row>
      <xdr:rowOff>123825</xdr:rowOff>
    </xdr:to>
    <xdr:grpSp>
      <xdr:nvGrpSpPr>
        <xdr:cNvPr id="330" name="Group 329">
          <a:extLst>
            <a:ext uri="{FF2B5EF4-FFF2-40B4-BE49-F238E27FC236}">
              <a16:creationId xmlns:a16="http://schemas.microsoft.com/office/drawing/2014/main" id="{00000000-0008-0000-0100-00004A010000}"/>
            </a:ext>
          </a:extLst>
        </xdr:cNvPr>
        <xdr:cNvGrpSpPr/>
      </xdr:nvGrpSpPr>
      <xdr:grpSpPr>
        <a:xfrm>
          <a:off x="2805959" y="3938133"/>
          <a:ext cx="895456" cy="1298712"/>
          <a:chOff x="5027776" y="2699047"/>
          <a:chExt cx="1330295" cy="1417177"/>
        </a:xfrm>
      </xdr:grpSpPr>
      <xdr:cxnSp macro="">
        <xdr:nvCxnSpPr>
          <xdr:cNvPr id="331" name="Straight Arrow Connector 330">
            <a:extLst>
              <a:ext uri="{FF2B5EF4-FFF2-40B4-BE49-F238E27FC236}">
                <a16:creationId xmlns:a16="http://schemas.microsoft.com/office/drawing/2014/main" id="{00000000-0008-0000-0100-00004B010000}"/>
              </a:ext>
            </a:extLst>
          </xdr:cNvPr>
          <xdr:cNvCxnSpPr/>
        </xdr:nvCxnSpPr>
        <xdr:spPr>
          <a:xfrm flipH="1">
            <a:off x="5496370" y="3438259"/>
            <a:ext cx="861701" cy="1780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32" name="Rectangle 331">
            <a:extLst>
              <a:ext uri="{FF2B5EF4-FFF2-40B4-BE49-F238E27FC236}">
                <a16:creationId xmlns:a16="http://schemas.microsoft.com/office/drawing/2014/main" id="{00000000-0008-0000-0100-00004C010000}"/>
              </a:ext>
            </a:extLst>
          </xdr:cNvPr>
          <xdr:cNvSpPr/>
        </xdr:nvSpPr>
        <xdr:spPr>
          <a:xfrm>
            <a:off x="5027776" y="2699047"/>
            <a:ext cx="1004131" cy="1417177"/>
          </a:xfrm>
          <a:prstGeom prst="rect">
            <a:avLst/>
          </a:prstGeom>
          <a:solidFill>
            <a:srgbClr val="92D050">
              <a:alpha val="48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37567</xdr:colOff>
      <xdr:row>21</xdr:row>
      <xdr:rowOff>30480</xdr:rowOff>
    </xdr:from>
    <xdr:to>
      <xdr:col>10</xdr:col>
      <xdr:colOff>421006</xdr:colOff>
      <xdr:row>28</xdr:row>
      <xdr:rowOff>116205</xdr:rowOff>
    </xdr:to>
    <xdr:grpSp>
      <xdr:nvGrpSpPr>
        <xdr:cNvPr id="333" name="Group 332">
          <a:extLst>
            <a:ext uri="{FF2B5EF4-FFF2-40B4-BE49-F238E27FC236}">
              <a16:creationId xmlns:a16="http://schemas.microsoft.com/office/drawing/2014/main" id="{00000000-0008-0000-0100-00004D010000}"/>
            </a:ext>
          </a:extLst>
        </xdr:cNvPr>
        <xdr:cNvGrpSpPr/>
      </xdr:nvGrpSpPr>
      <xdr:grpSpPr>
        <a:xfrm>
          <a:off x="4220947" y="3962400"/>
          <a:ext cx="848259" cy="1266825"/>
          <a:chOff x="6924943" y="2673409"/>
          <a:chExt cx="1330295" cy="1417177"/>
        </a:xfrm>
      </xdr:grpSpPr>
      <xdr:sp macro="" textlink="">
        <xdr:nvSpPr>
          <xdr:cNvPr id="334" name="Rectangle 333">
            <a:extLst>
              <a:ext uri="{FF2B5EF4-FFF2-40B4-BE49-F238E27FC236}">
                <a16:creationId xmlns:a16="http://schemas.microsoft.com/office/drawing/2014/main" id="{00000000-0008-0000-0100-00004E010000}"/>
              </a:ext>
            </a:extLst>
          </xdr:cNvPr>
          <xdr:cNvSpPr/>
        </xdr:nvSpPr>
        <xdr:spPr>
          <a:xfrm>
            <a:off x="6924943" y="2673409"/>
            <a:ext cx="1004131" cy="1417177"/>
          </a:xfrm>
          <a:prstGeom prst="rect">
            <a:avLst/>
          </a:prstGeom>
          <a:solidFill>
            <a:srgbClr val="FFFF00">
              <a:alpha val="48000"/>
            </a:srgb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xnSp macro="">
        <xdr:nvCxnSpPr>
          <xdr:cNvPr id="335" name="Straight Arrow Connector 334">
            <a:extLst>
              <a:ext uri="{FF2B5EF4-FFF2-40B4-BE49-F238E27FC236}">
                <a16:creationId xmlns:a16="http://schemas.microsoft.com/office/drawing/2014/main" id="{00000000-0008-0000-0100-00004F010000}"/>
              </a:ext>
            </a:extLst>
          </xdr:cNvPr>
          <xdr:cNvCxnSpPr/>
        </xdr:nvCxnSpPr>
        <xdr:spPr>
          <a:xfrm flipH="1">
            <a:off x="7393537" y="3412621"/>
            <a:ext cx="861701" cy="1780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2</xdr:colOff>
      <xdr:row>30</xdr:row>
      <xdr:rowOff>76271</xdr:rowOff>
    </xdr:from>
    <xdr:to>
      <xdr:col>2</xdr:col>
      <xdr:colOff>177166</xdr:colOff>
      <xdr:row>34</xdr:row>
      <xdr:rowOff>106680</xdr:rowOff>
    </xdr:to>
    <xdr:sp macro="" textlink="">
      <xdr:nvSpPr>
        <xdr:cNvPr id="336" name="TextBox 335">
          <a:extLst>
            <a:ext uri="{FF2B5EF4-FFF2-40B4-BE49-F238E27FC236}">
              <a16:creationId xmlns:a16="http://schemas.microsoft.com/office/drawing/2014/main" id="{00000000-0008-0000-0100-000050010000}"/>
            </a:ext>
          </a:extLst>
        </xdr:cNvPr>
        <xdr:cNvSpPr txBox="1"/>
      </xdr:nvSpPr>
      <xdr:spPr>
        <a:xfrm>
          <a:off x="2" y="5429321"/>
          <a:ext cx="1110614" cy="5638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900"/>
            <a:t>Soil Surcharge applied</a:t>
          </a:r>
          <a:r>
            <a:rPr lang="en-AU" sz="900" baseline="0"/>
            <a:t> 1/3 of the pit height</a:t>
          </a:r>
          <a:endParaRPr lang="en-AU" sz="900"/>
        </a:p>
      </xdr:txBody>
    </xdr:sp>
    <xdr:clientData/>
  </xdr:twoCellAnchor>
  <xdr:twoCellAnchor>
    <xdr:from>
      <xdr:col>2</xdr:col>
      <xdr:colOff>457858</xdr:colOff>
      <xdr:row>30</xdr:row>
      <xdr:rowOff>110596</xdr:rowOff>
    </xdr:from>
    <xdr:to>
      <xdr:col>4</xdr:col>
      <xdr:colOff>445770</xdr:colOff>
      <xdr:row>36</xdr:row>
      <xdr:rowOff>28575</xdr:rowOff>
    </xdr:to>
    <xdr:sp macro="" textlink="">
      <xdr:nvSpPr>
        <xdr:cNvPr id="337" name="TextBox 336">
          <a:extLst>
            <a:ext uri="{FF2B5EF4-FFF2-40B4-BE49-F238E27FC236}">
              <a16:creationId xmlns:a16="http://schemas.microsoft.com/office/drawing/2014/main" id="{00000000-0008-0000-0100-000051010000}"/>
            </a:ext>
          </a:extLst>
        </xdr:cNvPr>
        <xdr:cNvSpPr txBox="1"/>
      </xdr:nvSpPr>
      <xdr:spPr>
        <a:xfrm>
          <a:off x="1391308" y="5463646"/>
          <a:ext cx="921362" cy="7180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Water </a:t>
          </a:r>
          <a:r>
            <a:rPr lang="en-AU" sz="900"/>
            <a:t>Pressure</a:t>
          </a:r>
          <a:r>
            <a:rPr lang="en-AU" sz="1000"/>
            <a:t> applied</a:t>
          </a:r>
          <a:r>
            <a:rPr lang="en-AU" sz="1000" baseline="0"/>
            <a:t> 1/3 of the pit height</a:t>
          </a:r>
          <a:endParaRPr lang="en-AU" sz="1000"/>
        </a:p>
      </xdr:txBody>
    </xdr:sp>
    <xdr:clientData/>
  </xdr:twoCellAnchor>
  <xdr:twoCellAnchor>
    <xdr:from>
      <xdr:col>5</xdr:col>
      <xdr:colOff>458659</xdr:colOff>
      <xdr:row>30</xdr:row>
      <xdr:rowOff>34307</xdr:rowOff>
    </xdr:from>
    <xdr:to>
      <xdr:col>7</xdr:col>
      <xdr:colOff>438150</xdr:colOff>
      <xdr:row>36</xdr:row>
      <xdr:rowOff>11430</xdr:rowOff>
    </xdr:to>
    <xdr:sp macro="" textlink="">
      <xdr:nvSpPr>
        <xdr:cNvPr id="338" name="TextBox 337">
          <a:extLst>
            <a:ext uri="{FF2B5EF4-FFF2-40B4-BE49-F238E27FC236}">
              <a16:creationId xmlns:a16="http://schemas.microsoft.com/office/drawing/2014/main" id="{00000000-0008-0000-0100-000052010000}"/>
            </a:ext>
          </a:extLst>
        </xdr:cNvPr>
        <xdr:cNvSpPr txBox="1"/>
      </xdr:nvSpPr>
      <xdr:spPr>
        <a:xfrm>
          <a:off x="2792284" y="5387357"/>
          <a:ext cx="912941" cy="777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900"/>
            <a:t>Rail Load</a:t>
          </a:r>
          <a:r>
            <a:rPr lang="en-AU" sz="900" baseline="0"/>
            <a:t> Surcharge applie center of influence zone (If Applicable)</a:t>
          </a:r>
          <a:endParaRPr lang="en-AU" sz="900"/>
        </a:p>
      </xdr:txBody>
    </xdr:sp>
    <xdr:clientData/>
  </xdr:twoCellAnchor>
  <xdr:twoCellAnchor>
    <xdr:from>
      <xdr:col>8</xdr:col>
      <xdr:colOff>445716</xdr:colOff>
      <xdr:row>29</xdr:row>
      <xdr:rowOff>38563</xdr:rowOff>
    </xdr:from>
    <xdr:to>
      <xdr:col>11</xdr:col>
      <xdr:colOff>19050</xdr:colOff>
      <xdr:row>37</xdr:row>
      <xdr:rowOff>91440</xdr:rowOff>
    </xdr:to>
    <xdr:sp macro="" textlink="">
      <xdr:nvSpPr>
        <xdr:cNvPr id="339" name="TextBox 338">
          <a:extLst>
            <a:ext uri="{FF2B5EF4-FFF2-40B4-BE49-F238E27FC236}">
              <a16:creationId xmlns:a16="http://schemas.microsoft.com/office/drawing/2014/main" id="{00000000-0008-0000-0100-000053010000}"/>
            </a:ext>
          </a:extLst>
        </xdr:cNvPr>
        <xdr:cNvSpPr txBox="1"/>
      </xdr:nvSpPr>
      <xdr:spPr>
        <a:xfrm>
          <a:off x="4179516" y="5258263"/>
          <a:ext cx="973509" cy="11196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900"/>
            <a:t>Surcharge from adjacent</a:t>
          </a:r>
          <a:r>
            <a:rPr lang="en-AU" sz="900" baseline="0"/>
            <a:t> structure applied center of influence zone (If Applicable)</a:t>
          </a:r>
          <a:endParaRPr lang="en-AU" sz="900"/>
        </a:p>
      </xdr:txBody>
    </xdr:sp>
    <xdr:clientData/>
  </xdr:twoCellAnchor>
  <xdr:twoCellAnchor editAs="absolute">
    <xdr:from>
      <xdr:col>0</xdr:col>
      <xdr:colOff>0</xdr:colOff>
      <xdr:row>0</xdr:row>
      <xdr:rowOff>0</xdr:rowOff>
    </xdr:from>
    <xdr:to>
      <xdr:col>12</xdr:col>
      <xdr:colOff>395164</xdr:colOff>
      <xdr:row>5</xdr:row>
      <xdr:rowOff>26392</xdr:rowOff>
    </xdr:to>
    <xdr:grpSp>
      <xdr:nvGrpSpPr>
        <xdr:cNvPr id="2" name="GroupedHeader">
          <a:extLst>
            <a:ext uri="{FF2B5EF4-FFF2-40B4-BE49-F238E27FC236}">
              <a16:creationId xmlns:a16="http://schemas.microsoft.com/office/drawing/2014/main" id="{7D6FC3D5-1B80-4B8E-AD57-8F477C1896A3}"/>
            </a:ext>
          </a:extLst>
        </xdr:cNvPr>
        <xdr:cNvGrpSpPr/>
      </xdr:nvGrpSpPr>
      <xdr:grpSpPr>
        <a:xfrm>
          <a:off x="0" y="0"/>
          <a:ext cx="5973004" cy="1253212"/>
          <a:chOff x="15516225" y="79277"/>
          <a:chExt cx="6609367" cy="1328247"/>
        </a:xfrm>
      </xdr:grpSpPr>
      <xdr:sp macro="" textlink="job_no">
        <xdr:nvSpPr>
          <xdr:cNvPr id="3" name="Text Box 39">
            <a:extLst>
              <a:ext uri="{FF2B5EF4-FFF2-40B4-BE49-F238E27FC236}">
                <a16:creationId xmlns:a16="http://schemas.microsoft.com/office/drawing/2014/main" id="{9DAD4A08-65B2-03EA-C7C1-1661C346F29C}"/>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4" name="Text Box 39">
            <a:extLst>
              <a:ext uri="{FF2B5EF4-FFF2-40B4-BE49-F238E27FC236}">
                <a16:creationId xmlns:a16="http://schemas.microsoft.com/office/drawing/2014/main" id="{7BC7B460-9650-3A3F-A518-BCBC153BE556}"/>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5" name="Text Box 39">
            <a:extLst>
              <a:ext uri="{FF2B5EF4-FFF2-40B4-BE49-F238E27FC236}">
                <a16:creationId xmlns:a16="http://schemas.microsoft.com/office/drawing/2014/main" id="{456A1914-1359-1F9E-35FD-F988E87304C2}"/>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6" name="Text Box 39">
            <a:extLst>
              <a:ext uri="{FF2B5EF4-FFF2-40B4-BE49-F238E27FC236}">
                <a16:creationId xmlns:a16="http://schemas.microsoft.com/office/drawing/2014/main" id="{2FBEB409-F785-60CC-BAC0-23507269BB23}"/>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7" name="Text Box 39">
            <a:extLst>
              <a:ext uri="{FF2B5EF4-FFF2-40B4-BE49-F238E27FC236}">
                <a16:creationId xmlns:a16="http://schemas.microsoft.com/office/drawing/2014/main" id="{6CA766C6-2993-66FA-97A7-2DA636F67A54}"/>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8" name="DisclaimerBox">
            <a:extLst>
              <a:ext uri="{FF2B5EF4-FFF2-40B4-BE49-F238E27FC236}">
                <a16:creationId xmlns:a16="http://schemas.microsoft.com/office/drawing/2014/main" id="{00A9B71E-2346-D0DD-5EA4-EC3290672429}"/>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9" name="Rectangle 8">
            <a:extLst>
              <a:ext uri="{FF2B5EF4-FFF2-40B4-BE49-F238E27FC236}">
                <a16:creationId xmlns:a16="http://schemas.microsoft.com/office/drawing/2014/main" id="{875B3701-F50A-A1FC-662A-97C3ADBE3A75}"/>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10" name="Rectangle 9">
            <a:extLst>
              <a:ext uri="{FF2B5EF4-FFF2-40B4-BE49-F238E27FC236}">
                <a16:creationId xmlns:a16="http://schemas.microsoft.com/office/drawing/2014/main" id="{E9A1B6B1-07E1-97A6-DC2E-8480F9B33039}"/>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11" name="Rectangle 10">
            <a:extLst>
              <a:ext uri="{FF2B5EF4-FFF2-40B4-BE49-F238E27FC236}">
                <a16:creationId xmlns:a16="http://schemas.microsoft.com/office/drawing/2014/main" id="{BD50C7B5-757D-4AFB-BA15-774DF2389EFA}"/>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12" name="Rectangle 11">
            <a:extLst>
              <a:ext uri="{FF2B5EF4-FFF2-40B4-BE49-F238E27FC236}">
                <a16:creationId xmlns:a16="http://schemas.microsoft.com/office/drawing/2014/main" id="{E90EF8CA-39B6-D696-623C-9E476C630C1D}"/>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13" name="Rectangle 12">
            <a:extLst>
              <a:ext uri="{FF2B5EF4-FFF2-40B4-BE49-F238E27FC236}">
                <a16:creationId xmlns:a16="http://schemas.microsoft.com/office/drawing/2014/main" id="{72220976-73C6-394F-8A3A-213045E9FA67}"/>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14" name="Rectangle 13">
            <a:extLst>
              <a:ext uri="{FF2B5EF4-FFF2-40B4-BE49-F238E27FC236}">
                <a16:creationId xmlns:a16="http://schemas.microsoft.com/office/drawing/2014/main" id="{8F560149-8B2F-2691-DBED-61C20755CD01}"/>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15" name="TextBox 14">
            <a:extLst>
              <a:ext uri="{FF2B5EF4-FFF2-40B4-BE49-F238E27FC236}">
                <a16:creationId xmlns:a16="http://schemas.microsoft.com/office/drawing/2014/main" id="{0D4CAD86-7D60-C396-5B81-618B80F45168}"/>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16" name="Text Box 46">
            <a:extLst>
              <a:ext uri="{FF2B5EF4-FFF2-40B4-BE49-F238E27FC236}">
                <a16:creationId xmlns:a16="http://schemas.microsoft.com/office/drawing/2014/main" id="{E9E8F73F-C3D1-C45B-EBC1-EB183381A98E}"/>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17" name="Text Box 46">
            <a:extLst>
              <a:ext uri="{FF2B5EF4-FFF2-40B4-BE49-F238E27FC236}">
                <a16:creationId xmlns:a16="http://schemas.microsoft.com/office/drawing/2014/main" id="{546B769D-A63B-FDE3-69BF-B6EB92E023AA}"/>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18" name="Text Box 39">
            <a:extLst>
              <a:ext uri="{FF2B5EF4-FFF2-40B4-BE49-F238E27FC236}">
                <a16:creationId xmlns:a16="http://schemas.microsoft.com/office/drawing/2014/main" id="{F8D03B2E-B28F-8791-EAFE-50C1EC63E047}"/>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19" name="Rectangle 18">
            <a:extLst>
              <a:ext uri="{FF2B5EF4-FFF2-40B4-BE49-F238E27FC236}">
                <a16:creationId xmlns:a16="http://schemas.microsoft.com/office/drawing/2014/main" id="{1156C788-DA58-4EAF-A370-F03E17E4C563}"/>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20" name="Text Box 39">
            <a:extLst>
              <a:ext uri="{FF2B5EF4-FFF2-40B4-BE49-F238E27FC236}">
                <a16:creationId xmlns:a16="http://schemas.microsoft.com/office/drawing/2014/main" id="{0867968F-A47E-409F-5B34-D8B59D701960}"/>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21" name="Text Box 46">
            <a:extLst>
              <a:ext uri="{FF2B5EF4-FFF2-40B4-BE49-F238E27FC236}">
                <a16:creationId xmlns:a16="http://schemas.microsoft.com/office/drawing/2014/main" id="{71FEC9B5-0A14-1F8E-4A0D-E77EBFACCBE5}"/>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22" name="Text Box 46">
            <a:extLst>
              <a:ext uri="{FF2B5EF4-FFF2-40B4-BE49-F238E27FC236}">
                <a16:creationId xmlns:a16="http://schemas.microsoft.com/office/drawing/2014/main" id="{B62FD85E-518E-4263-B257-4DE579D5FD6D}"/>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272751</xdr:colOff>
      <xdr:row>26</xdr:row>
      <xdr:rowOff>117774</xdr:rowOff>
    </xdr:from>
    <xdr:to>
      <xdr:col>31</xdr:col>
      <xdr:colOff>282052</xdr:colOff>
      <xdr:row>55</xdr:row>
      <xdr:rowOff>56030</xdr:rowOff>
    </xdr:to>
    <xdr:sp macro="" textlink="">
      <xdr:nvSpPr>
        <xdr:cNvPr id="16" name="Rectangle 15">
          <a:extLst>
            <a:ext uri="{FF2B5EF4-FFF2-40B4-BE49-F238E27FC236}">
              <a16:creationId xmlns:a16="http://schemas.microsoft.com/office/drawing/2014/main" id="{ACC2D712-D2B6-3567-C813-9FD476B66B42}"/>
            </a:ext>
          </a:extLst>
        </xdr:cNvPr>
        <xdr:cNvSpPr/>
      </xdr:nvSpPr>
      <xdr:spPr bwMode="auto">
        <a:xfrm>
          <a:off x="12868163" y="4488068"/>
          <a:ext cx="4715771" cy="4678344"/>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editAs="oneCell">
    <xdr:from>
      <xdr:col>3</xdr:col>
      <xdr:colOff>643891</xdr:colOff>
      <xdr:row>5</xdr:row>
      <xdr:rowOff>281940</xdr:rowOff>
    </xdr:from>
    <xdr:to>
      <xdr:col>6</xdr:col>
      <xdr:colOff>398217</xdr:colOff>
      <xdr:row>13</xdr:row>
      <xdr:rowOff>97155</xdr:rowOff>
    </xdr:to>
    <xdr:pic>
      <xdr:nvPicPr>
        <xdr:cNvPr id="879" name="Picture 878">
          <a:extLst>
            <a:ext uri="{FF2B5EF4-FFF2-40B4-BE49-F238E27FC236}">
              <a16:creationId xmlns:a16="http://schemas.microsoft.com/office/drawing/2014/main" id="{00000000-0008-0000-0200-00006F030000}"/>
            </a:ext>
          </a:extLst>
        </xdr:cNvPr>
        <xdr:cNvPicPr>
          <a:picLocks noChangeAspect="1"/>
        </xdr:cNvPicPr>
      </xdr:nvPicPr>
      <xdr:blipFill>
        <a:blip xmlns:r="http://schemas.openxmlformats.org/officeDocument/2006/relationships" r:embed="rId1"/>
        <a:stretch>
          <a:fillRect/>
        </a:stretch>
      </xdr:blipFill>
      <xdr:spPr>
        <a:xfrm>
          <a:off x="4501516" y="1520190"/>
          <a:ext cx="1438346" cy="1110615"/>
        </a:xfrm>
        <a:prstGeom prst="rect">
          <a:avLst/>
        </a:prstGeom>
      </xdr:spPr>
    </xdr:pic>
    <xdr:clientData/>
  </xdr:twoCellAnchor>
  <xdr:twoCellAnchor editAs="oneCell">
    <xdr:from>
      <xdr:col>0</xdr:col>
      <xdr:colOff>0</xdr:colOff>
      <xdr:row>41</xdr:row>
      <xdr:rowOff>30480</xdr:rowOff>
    </xdr:from>
    <xdr:to>
      <xdr:col>2</xdr:col>
      <xdr:colOff>96097</xdr:colOff>
      <xdr:row>57</xdr:row>
      <xdr:rowOff>129540</xdr:rowOff>
    </xdr:to>
    <xdr:pic>
      <xdr:nvPicPr>
        <xdr:cNvPr id="1206" name="Picture 1205">
          <a:extLst>
            <a:ext uri="{FF2B5EF4-FFF2-40B4-BE49-F238E27FC236}">
              <a16:creationId xmlns:a16="http://schemas.microsoft.com/office/drawing/2014/main" id="{00000000-0008-0000-0200-0000B6040000}"/>
            </a:ext>
          </a:extLst>
        </xdr:cNvPr>
        <xdr:cNvPicPr>
          <a:picLocks noChangeAspect="1"/>
        </xdr:cNvPicPr>
      </xdr:nvPicPr>
      <xdr:blipFill>
        <a:blip xmlns:r="http://schemas.openxmlformats.org/officeDocument/2006/relationships" r:embed="rId2"/>
        <a:stretch>
          <a:fillRect/>
        </a:stretch>
      </xdr:blipFill>
      <xdr:spPr>
        <a:xfrm>
          <a:off x="0" y="6745605"/>
          <a:ext cx="3285067" cy="2832735"/>
        </a:xfrm>
        <a:prstGeom prst="rect">
          <a:avLst/>
        </a:prstGeom>
      </xdr:spPr>
    </xdr:pic>
    <xdr:clientData/>
  </xdr:twoCellAnchor>
  <xdr:twoCellAnchor>
    <xdr:from>
      <xdr:col>9</xdr:col>
      <xdr:colOff>53620</xdr:colOff>
      <xdr:row>24</xdr:row>
      <xdr:rowOff>49530</xdr:rowOff>
    </xdr:from>
    <xdr:to>
      <xdr:col>13</xdr:col>
      <xdr:colOff>154585</xdr:colOff>
      <xdr:row>43</xdr:row>
      <xdr:rowOff>29845</xdr:rowOff>
    </xdr:to>
    <xdr:sp macro="" textlink="">
      <xdr:nvSpPr>
        <xdr:cNvPr id="2" name="Rectangle 1">
          <a:extLst>
            <a:ext uri="{FF2B5EF4-FFF2-40B4-BE49-F238E27FC236}">
              <a16:creationId xmlns:a16="http://schemas.microsoft.com/office/drawing/2014/main" id="{22302B7D-5F9E-5962-AC33-1F9BE1133803}"/>
            </a:ext>
          </a:extLst>
        </xdr:cNvPr>
        <xdr:cNvSpPr/>
      </xdr:nvSpPr>
      <xdr:spPr bwMode="auto">
        <a:xfrm>
          <a:off x="7001267" y="4128471"/>
          <a:ext cx="1983553" cy="299469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7</xdr:col>
      <xdr:colOff>428625</xdr:colOff>
      <xdr:row>24</xdr:row>
      <xdr:rowOff>55563</xdr:rowOff>
    </xdr:from>
    <xdr:to>
      <xdr:col>21</xdr:col>
      <xdr:colOff>198437</xdr:colOff>
      <xdr:row>24</xdr:row>
      <xdr:rowOff>55563</xdr:rowOff>
    </xdr:to>
    <xdr:cxnSp macro="">
      <xdr:nvCxnSpPr>
        <xdr:cNvPr id="4" name="Straight Connector 3">
          <a:extLst>
            <a:ext uri="{FF2B5EF4-FFF2-40B4-BE49-F238E27FC236}">
              <a16:creationId xmlns:a16="http://schemas.microsoft.com/office/drawing/2014/main" id="{760C456F-E4BE-B38E-20B3-15F2AE0C91FA}"/>
            </a:ext>
          </a:extLst>
        </xdr:cNvPr>
        <xdr:cNvCxnSpPr/>
      </xdr:nvCxnSpPr>
      <xdr:spPr bwMode="auto">
        <a:xfrm>
          <a:off x="6437313" y="4119563"/>
          <a:ext cx="6326187" cy="0"/>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13</xdr:col>
      <xdr:colOff>119062</xdr:colOff>
      <xdr:row>24</xdr:row>
      <xdr:rowOff>31750</xdr:rowOff>
    </xdr:from>
    <xdr:to>
      <xdr:col>17</xdr:col>
      <xdr:colOff>150812</xdr:colOff>
      <xdr:row>43</xdr:row>
      <xdr:rowOff>23812</xdr:rowOff>
    </xdr:to>
    <xdr:cxnSp macro="">
      <xdr:nvCxnSpPr>
        <xdr:cNvPr id="6" name="Straight Connector 5">
          <a:extLst>
            <a:ext uri="{FF2B5EF4-FFF2-40B4-BE49-F238E27FC236}">
              <a16:creationId xmlns:a16="http://schemas.microsoft.com/office/drawing/2014/main" id="{0D5E1293-AF5E-6BD2-6E0F-B3F25974E6CD}"/>
            </a:ext>
          </a:extLst>
        </xdr:cNvPr>
        <xdr:cNvCxnSpPr/>
      </xdr:nvCxnSpPr>
      <xdr:spPr bwMode="auto">
        <a:xfrm>
          <a:off x="8937625" y="4095750"/>
          <a:ext cx="1905000" cy="3032125"/>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13</xdr:col>
      <xdr:colOff>166687</xdr:colOff>
      <xdr:row>43</xdr:row>
      <xdr:rowOff>71437</xdr:rowOff>
    </xdr:from>
    <xdr:to>
      <xdr:col>17</xdr:col>
      <xdr:colOff>150812</xdr:colOff>
      <xdr:row>43</xdr:row>
      <xdr:rowOff>79375</xdr:rowOff>
    </xdr:to>
    <xdr:cxnSp macro="">
      <xdr:nvCxnSpPr>
        <xdr:cNvPr id="8" name="Straight Connector 7">
          <a:extLst>
            <a:ext uri="{FF2B5EF4-FFF2-40B4-BE49-F238E27FC236}">
              <a16:creationId xmlns:a16="http://schemas.microsoft.com/office/drawing/2014/main" id="{BC972DBD-C9E1-1FAC-1FFF-BFB628BF5BD9}"/>
            </a:ext>
          </a:extLst>
        </xdr:cNvPr>
        <xdr:cNvCxnSpPr/>
      </xdr:nvCxnSpPr>
      <xdr:spPr bwMode="auto">
        <a:xfrm flipH="1">
          <a:off x="8985250" y="7175500"/>
          <a:ext cx="1857375" cy="7938"/>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clientData/>
  </xdr:twoCellAnchor>
  <xdr:twoCellAnchor>
    <xdr:from>
      <xdr:col>13</xdr:col>
      <xdr:colOff>122872</xdr:colOff>
      <xdr:row>36</xdr:row>
      <xdr:rowOff>1904</xdr:rowOff>
    </xdr:from>
    <xdr:to>
      <xdr:col>18</xdr:col>
      <xdr:colOff>420687</xdr:colOff>
      <xdr:row>36</xdr:row>
      <xdr:rowOff>1904</xdr:rowOff>
    </xdr:to>
    <xdr:cxnSp macro="">
      <xdr:nvCxnSpPr>
        <xdr:cNvPr id="10" name="Straight Arrow Connector 9">
          <a:extLst>
            <a:ext uri="{FF2B5EF4-FFF2-40B4-BE49-F238E27FC236}">
              <a16:creationId xmlns:a16="http://schemas.microsoft.com/office/drawing/2014/main" id="{EDC5F4DE-6093-264D-3086-D405D330FAD3}"/>
            </a:ext>
          </a:extLst>
        </xdr:cNvPr>
        <xdr:cNvCxnSpPr/>
      </xdr:nvCxnSpPr>
      <xdr:spPr bwMode="auto">
        <a:xfrm flipH="1">
          <a:off x="8941435" y="5962967"/>
          <a:ext cx="2639377" cy="0"/>
        </a:xfrm>
        <a:prstGeom prst="straightConnector1">
          <a:avLst/>
        </a:prstGeom>
        <a:solidFill>
          <a:srgbClr val="FFFFFF"/>
        </a:solidFill>
        <a:ln w="9525" cap="flat" cmpd="sng" algn="ctr">
          <a:solidFill>
            <a:srgbClr val="000000"/>
          </a:solidFill>
          <a:prstDash val="solid"/>
          <a:round/>
          <a:headEnd type="none" w="med" len="med"/>
          <a:tailEnd type="triangle"/>
        </a:ln>
        <a:effectLst/>
      </xdr:spPr>
    </xdr:cxnSp>
    <xdr:clientData/>
  </xdr:twoCellAnchor>
  <xdr:twoCellAnchor>
    <xdr:from>
      <xdr:col>19</xdr:col>
      <xdr:colOff>63499</xdr:colOff>
      <xdr:row>24</xdr:row>
      <xdr:rowOff>61596</xdr:rowOff>
    </xdr:from>
    <xdr:to>
      <xdr:col>20</xdr:col>
      <xdr:colOff>363220</xdr:colOff>
      <xdr:row>43</xdr:row>
      <xdr:rowOff>51753</xdr:rowOff>
    </xdr:to>
    <xdr:sp macro="" textlink="">
      <xdr:nvSpPr>
        <xdr:cNvPr id="11" name="Rectangle 10">
          <a:extLst>
            <a:ext uri="{FF2B5EF4-FFF2-40B4-BE49-F238E27FC236}">
              <a16:creationId xmlns:a16="http://schemas.microsoft.com/office/drawing/2014/main" id="{7781AA53-297A-5819-591C-0C0AE87CB419}"/>
            </a:ext>
          </a:extLst>
        </xdr:cNvPr>
        <xdr:cNvSpPr/>
      </xdr:nvSpPr>
      <xdr:spPr bwMode="auto">
        <a:xfrm>
          <a:off x="11691937" y="4125596"/>
          <a:ext cx="768033" cy="3030220"/>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13</xdr:col>
      <xdr:colOff>136842</xdr:colOff>
      <xdr:row>32</xdr:row>
      <xdr:rowOff>108902</xdr:rowOff>
    </xdr:from>
    <xdr:to>
      <xdr:col>17</xdr:col>
      <xdr:colOff>123190</xdr:colOff>
      <xdr:row>32</xdr:row>
      <xdr:rowOff>111125</xdr:rowOff>
    </xdr:to>
    <xdr:cxnSp macro="">
      <xdr:nvCxnSpPr>
        <xdr:cNvPr id="13" name="Straight Arrow Connector 12">
          <a:extLst>
            <a:ext uri="{FF2B5EF4-FFF2-40B4-BE49-F238E27FC236}">
              <a16:creationId xmlns:a16="http://schemas.microsoft.com/office/drawing/2014/main" id="{578355AC-4B05-42A7-68C2-33FA62143D73}"/>
            </a:ext>
          </a:extLst>
        </xdr:cNvPr>
        <xdr:cNvCxnSpPr/>
      </xdr:nvCxnSpPr>
      <xdr:spPr bwMode="auto">
        <a:xfrm flipH="1">
          <a:off x="8955405" y="5530215"/>
          <a:ext cx="1859598" cy="2223"/>
        </a:xfrm>
        <a:prstGeom prst="straightConnector1">
          <a:avLst/>
        </a:prstGeom>
        <a:solidFill>
          <a:srgbClr val="FFFFFF"/>
        </a:solidFill>
        <a:ln w="9525" cap="flat" cmpd="sng" algn="ctr">
          <a:solidFill>
            <a:srgbClr val="000000"/>
          </a:solidFill>
          <a:prstDash val="solid"/>
          <a:round/>
          <a:headEnd type="none" w="med" len="med"/>
          <a:tailEnd type="triangle"/>
        </a:ln>
        <a:effectLst/>
      </xdr:spPr>
    </xdr:cxnSp>
    <xdr:clientData/>
  </xdr:twoCellAnchor>
  <xdr:twoCellAnchor>
    <xdr:from>
      <xdr:col>12</xdr:col>
      <xdr:colOff>468312</xdr:colOff>
      <xdr:row>24</xdr:row>
      <xdr:rowOff>55563</xdr:rowOff>
    </xdr:from>
    <xdr:to>
      <xdr:col>13</xdr:col>
      <xdr:colOff>139064</xdr:colOff>
      <xdr:row>43</xdr:row>
      <xdr:rowOff>25718</xdr:rowOff>
    </xdr:to>
    <xdr:sp macro="" textlink="">
      <xdr:nvSpPr>
        <xdr:cNvPr id="14" name="Rectangle 13">
          <a:extLst>
            <a:ext uri="{FF2B5EF4-FFF2-40B4-BE49-F238E27FC236}">
              <a16:creationId xmlns:a16="http://schemas.microsoft.com/office/drawing/2014/main" id="{FF581FFD-A227-A26F-0EB2-FCA40B1B9215}"/>
            </a:ext>
          </a:extLst>
        </xdr:cNvPr>
        <xdr:cNvSpPr/>
      </xdr:nvSpPr>
      <xdr:spPr bwMode="auto">
        <a:xfrm>
          <a:off x="8818562" y="4119563"/>
          <a:ext cx="139065" cy="3010218"/>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xdr:from>
      <xdr:col>23</xdr:col>
      <xdr:colOff>403412</xdr:colOff>
      <xdr:row>33</xdr:row>
      <xdr:rowOff>33618</xdr:rowOff>
    </xdr:from>
    <xdr:to>
      <xdr:col>28</xdr:col>
      <xdr:colOff>392206</xdr:colOff>
      <xdr:row>49</xdr:row>
      <xdr:rowOff>78441</xdr:rowOff>
    </xdr:to>
    <xdr:sp macro="" textlink="">
      <xdr:nvSpPr>
        <xdr:cNvPr id="15" name="Oval 14">
          <a:extLst>
            <a:ext uri="{FF2B5EF4-FFF2-40B4-BE49-F238E27FC236}">
              <a16:creationId xmlns:a16="http://schemas.microsoft.com/office/drawing/2014/main" id="{8C694E99-6EA9-EF0C-A3BE-BBA694C14E96}"/>
            </a:ext>
          </a:extLst>
        </xdr:cNvPr>
        <xdr:cNvSpPr/>
      </xdr:nvSpPr>
      <xdr:spPr bwMode="auto">
        <a:xfrm>
          <a:off x="13940118" y="5614147"/>
          <a:ext cx="2342029" cy="2566147"/>
        </a:xfrm>
        <a:prstGeom prst="ellips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en-AU" sz="1100"/>
        </a:p>
      </xdr:txBody>
    </xdr:sp>
    <xdr:clientData/>
  </xdr:twoCellAnchor>
  <xdr:twoCellAnchor editAs="absolute">
    <xdr:from>
      <xdr:col>0</xdr:col>
      <xdr:colOff>0</xdr:colOff>
      <xdr:row>0</xdr:row>
      <xdr:rowOff>0</xdr:rowOff>
    </xdr:from>
    <xdr:to>
      <xdr:col>6</xdr:col>
      <xdr:colOff>441780</xdr:colOff>
      <xdr:row>5</xdr:row>
      <xdr:rowOff>34012</xdr:rowOff>
    </xdr:to>
    <xdr:grpSp>
      <xdr:nvGrpSpPr>
        <xdr:cNvPr id="3" name="GroupedHeader">
          <a:extLst>
            <a:ext uri="{FF2B5EF4-FFF2-40B4-BE49-F238E27FC236}">
              <a16:creationId xmlns:a16="http://schemas.microsoft.com/office/drawing/2014/main" id="{9CC880F2-9719-4218-B480-10614304EB1B}"/>
            </a:ext>
          </a:extLst>
        </xdr:cNvPr>
        <xdr:cNvGrpSpPr/>
      </xdr:nvGrpSpPr>
      <xdr:grpSpPr>
        <a:xfrm>
          <a:off x="0" y="0"/>
          <a:ext cx="5973004" cy="1253212"/>
          <a:chOff x="15516225" y="79277"/>
          <a:chExt cx="6609367" cy="1328247"/>
        </a:xfrm>
      </xdr:grpSpPr>
      <xdr:sp macro="" textlink="job_no">
        <xdr:nvSpPr>
          <xdr:cNvPr id="5" name="Text Box 39">
            <a:extLst>
              <a:ext uri="{FF2B5EF4-FFF2-40B4-BE49-F238E27FC236}">
                <a16:creationId xmlns:a16="http://schemas.microsoft.com/office/drawing/2014/main" id="{CB3720CA-D57C-8540-EE35-2B794DA3CA32}"/>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7" name="Text Box 39">
            <a:extLst>
              <a:ext uri="{FF2B5EF4-FFF2-40B4-BE49-F238E27FC236}">
                <a16:creationId xmlns:a16="http://schemas.microsoft.com/office/drawing/2014/main" id="{07D348DD-7E58-AF82-9611-9B80ECFA0226}"/>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9" name="Text Box 39">
            <a:extLst>
              <a:ext uri="{FF2B5EF4-FFF2-40B4-BE49-F238E27FC236}">
                <a16:creationId xmlns:a16="http://schemas.microsoft.com/office/drawing/2014/main" id="{1D4BA1BC-733F-2795-2092-B3C62B795580}"/>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12" name="Text Box 39">
            <a:extLst>
              <a:ext uri="{FF2B5EF4-FFF2-40B4-BE49-F238E27FC236}">
                <a16:creationId xmlns:a16="http://schemas.microsoft.com/office/drawing/2014/main" id="{067074A1-2651-9895-2AF3-87C1241F4A78}"/>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17" name="Text Box 39">
            <a:extLst>
              <a:ext uri="{FF2B5EF4-FFF2-40B4-BE49-F238E27FC236}">
                <a16:creationId xmlns:a16="http://schemas.microsoft.com/office/drawing/2014/main" id="{97DD53C7-1023-54E3-791C-6D213BBB077B}"/>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18" name="DisclaimerBox">
            <a:extLst>
              <a:ext uri="{FF2B5EF4-FFF2-40B4-BE49-F238E27FC236}">
                <a16:creationId xmlns:a16="http://schemas.microsoft.com/office/drawing/2014/main" id="{6D7E110F-0DA4-8322-F306-3FF1254C281A}"/>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19" name="Rectangle 18">
            <a:extLst>
              <a:ext uri="{FF2B5EF4-FFF2-40B4-BE49-F238E27FC236}">
                <a16:creationId xmlns:a16="http://schemas.microsoft.com/office/drawing/2014/main" id="{4A4D4637-0CE5-9D6D-5E7E-E3C758AC0658}"/>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20" name="Rectangle 19">
            <a:extLst>
              <a:ext uri="{FF2B5EF4-FFF2-40B4-BE49-F238E27FC236}">
                <a16:creationId xmlns:a16="http://schemas.microsoft.com/office/drawing/2014/main" id="{3A56803C-CC33-9680-5632-E36D8134A883}"/>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21" name="Rectangle 20">
            <a:extLst>
              <a:ext uri="{FF2B5EF4-FFF2-40B4-BE49-F238E27FC236}">
                <a16:creationId xmlns:a16="http://schemas.microsoft.com/office/drawing/2014/main" id="{6AF179BC-76A1-2FCF-ACC6-83D4C0A992D2}"/>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22" name="Rectangle 21">
            <a:extLst>
              <a:ext uri="{FF2B5EF4-FFF2-40B4-BE49-F238E27FC236}">
                <a16:creationId xmlns:a16="http://schemas.microsoft.com/office/drawing/2014/main" id="{BE18E3FE-04BB-A632-3B52-A8A14AF4B684}"/>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44" name="Rectangle 43">
            <a:extLst>
              <a:ext uri="{FF2B5EF4-FFF2-40B4-BE49-F238E27FC236}">
                <a16:creationId xmlns:a16="http://schemas.microsoft.com/office/drawing/2014/main" id="{4B32F30F-569D-54C3-059C-0ED5788EB955}"/>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45" name="Rectangle 44">
            <a:extLst>
              <a:ext uri="{FF2B5EF4-FFF2-40B4-BE49-F238E27FC236}">
                <a16:creationId xmlns:a16="http://schemas.microsoft.com/office/drawing/2014/main" id="{36FF3361-6BC5-8CB7-8ECC-58C4C9322840}"/>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46" name="TextBox 45">
            <a:extLst>
              <a:ext uri="{FF2B5EF4-FFF2-40B4-BE49-F238E27FC236}">
                <a16:creationId xmlns:a16="http://schemas.microsoft.com/office/drawing/2014/main" id="{203F074B-B92C-5FA6-4717-BCA180A2CDAE}"/>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47" name="Text Box 46">
            <a:extLst>
              <a:ext uri="{FF2B5EF4-FFF2-40B4-BE49-F238E27FC236}">
                <a16:creationId xmlns:a16="http://schemas.microsoft.com/office/drawing/2014/main" id="{960E8F2C-575F-AEBB-F809-22A499548A04}"/>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48" name="Text Box 46">
            <a:extLst>
              <a:ext uri="{FF2B5EF4-FFF2-40B4-BE49-F238E27FC236}">
                <a16:creationId xmlns:a16="http://schemas.microsoft.com/office/drawing/2014/main" id="{B5066EFD-187E-4BE7-5F87-A23F9236AFCE}"/>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49" name="Text Box 39">
            <a:extLst>
              <a:ext uri="{FF2B5EF4-FFF2-40B4-BE49-F238E27FC236}">
                <a16:creationId xmlns:a16="http://schemas.microsoft.com/office/drawing/2014/main" id="{FF1B1518-5320-F994-AD4C-58D7195DA9A8}"/>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50" name="Rectangle 49">
            <a:extLst>
              <a:ext uri="{FF2B5EF4-FFF2-40B4-BE49-F238E27FC236}">
                <a16:creationId xmlns:a16="http://schemas.microsoft.com/office/drawing/2014/main" id="{083B6FD1-2F92-10A8-79AD-9D5E29B15511}"/>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51" name="Text Box 39">
            <a:extLst>
              <a:ext uri="{FF2B5EF4-FFF2-40B4-BE49-F238E27FC236}">
                <a16:creationId xmlns:a16="http://schemas.microsoft.com/office/drawing/2014/main" id="{7D4CAED2-95E5-5C3B-40BB-2323B5B20952}"/>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52" name="Text Box 46">
            <a:extLst>
              <a:ext uri="{FF2B5EF4-FFF2-40B4-BE49-F238E27FC236}">
                <a16:creationId xmlns:a16="http://schemas.microsoft.com/office/drawing/2014/main" id="{EDEE6531-8B61-3985-4515-D42BFC057994}"/>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53" name="Text Box 46">
            <a:extLst>
              <a:ext uri="{FF2B5EF4-FFF2-40B4-BE49-F238E27FC236}">
                <a16:creationId xmlns:a16="http://schemas.microsoft.com/office/drawing/2014/main" id="{162A3CF3-EAFC-22FA-6FBA-E30B53332E5C}"/>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572931</xdr:colOff>
      <xdr:row>6</xdr:row>
      <xdr:rowOff>34290</xdr:rowOff>
    </xdr:from>
    <xdr:to>
      <xdr:col>6</xdr:col>
      <xdr:colOff>483392</xdr:colOff>
      <xdr:row>15</xdr:row>
      <xdr:rowOff>66675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4706781" y="1558290"/>
          <a:ext cx="1701161" cy="1384935"/>
        </a:xfrm>
        <a:prstGeom prst="rect">
          <a:avLst/>
        </a:prstGeom>
      </xdr:spPr>
    </xdr:pic>
    <xdr:clientData/>
  </xdr:twoCellAnchor>
  <xdr:twoCellAnchor editAs="oneCell">
    <xdr:from>
      <xdr:col>0</xdr:col>
      <xdr:colOff>0</xdr:colOff>
      <xdr:row>41</xdr:row>
      <xdr:rowOff>30480</xdr:rowOff>
    </xdr:from>
    <xdr:to>
      <xdr:col>2</xdr:col>
      <xdr:colOff>92287</xdr:colOff>
      <xdr:row>57</xdr:row>
      <xdr:rowOff>133350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0" y="6743700"/>
          <a:ext cx="3296497" cy="2844165"/>
        </a:xfrm>
        <a:prstGeom prst="rect">
          <a:avLst/>
        </a:prstGeom>
      </xdr:spPr>
    </xdr:pic>
    <xdr:clientData/>
  </xdr:twoCellAnchor>
  <xdr:twoCellAnchor editAs="absolute">
    <xdr:from>
      <xdr:col>0</xdr:col>
      <xdr:colOff>0</xdr:colOff>
      <xdr:row>0</xdr:row>
      <xdr:rowOff>0</xdr:rowOff>
    </xdr:from>
    <xdr:to>
      <xdr:col>6</xdr:col>
      <xdr:colOff>440884</xdr:colOff>
      <xdr:row>5</xdr:row>
      <xdr:rowOff>26392</xdr:rowOff>
    </xdr:to>
    <xdr:grpSp>
      <xdr:nvGrpSpPr>
        <xdr:cNvPr id="4" name="GroupedHeader">
          <a:extLst>
            <a:ext uri="{FF2B5EF4-FFF2-40B4-BE49-F238E27FC236}">
              <a16:creationId xmlns:a16="http://schemas.microsoft.com/office/drawing/2014/main" id="{5643043F-DA7A-4452-9234-0F42B126EF7E}"/>
            </a:ext>
          </a:extLst>
        </xdr:cNvPr>
        <xdr:cNvGrpSpPr/>
      </xdr:nvGrpSpPr>
      <xdr:grpSpPr>
        <a:xfrm>
          <a:off x="0" y="0"/>
          <a:ext cx="5973004" cy="1253212"/>
          <a:chOff x="15516225" y="79277"/>
          <a:chExt cx="6609367" cy="1328247"/>
        </a:xfrm>
      </xdr:grpSpPr>
      <xdr:sp macro="" textlink="job_no">
        <xdr:nvSpPr>
          <xdr:cNvPr id="5" name="Text Box 39">
            <a:extLst>
              <a:ext uri="{FF2B5EF4-FFF2-40B4-BE49-F238E27FC236}">
                <a16:creationId xmlns:a16="http://schemas.microsoft.com/office/drawing/2014/main" id="{1EA5D1BF-1A4B-1E51-8AE8-508138614ECF}"/>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6" name="Text Box 39">
            <a:extLst>
              <a:ext uri="{FF2B5EF4-FFF2-40B4-BE49-F238E27FC236}">
                <a16:creationId xmlns:a16="http://schemas.microsoft.com/office/drawing/2014/main" id="{CAB6043A-2AC8-60DA-996E-900EC4A1586E}"/>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7" name="Text Box 39">
            <a:extLst>
              <a:ext uri="{FF2B5EF4-FFF2-40B4-BE49-F238E27FC236}">
                <a16:creationId xmlns:a16="http://schemas.microsoft.com/office/drawing/2014/main" id="{E076D955-9CF7-1541-4BDA-82862B4A575A}"/>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8" name="Text Box 39">
            <a:extLst>
              <a:ext uri="{FF2B5EF4-FFF2-40B4-BE49-F238E27FC236}">
                <a16:creationId xmlns:a16="http://schemas.microsoft.com/office/drawing/2014/main" id="{66FA27C4-8312-1357-1968-05FD1CE66D5D}"/>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9" name="Text Box 39">
            <a:extLst>
              <a:ext uri="{FF2B5EF4-FFF2-40B4-BE49-F238E27FC236}">
                <a16:creationId xmlns:a16="http://schemas.microsoft.com/office/drawing/2014/main" id="{DE35B24F-8E75-C4D1-FDA4-22ABE2D544E4}"/>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10" name="DisclaimerBox">
            <a:extLst>
              <a:ext uri="{FF2B5EF4-FFF2-40B4-BE49-F238E27FC236}">
                <a16:creationId xmlns:a16="http://schemas.microsoft.com/office/drawing/2014/main" id="{51B2E654-8275-761F-8DFE-ADB67768B083}"/>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11" name="Rectangle 10">
            <a:extLst>
              <a:ext uri="{FF2B5EF4-FFF2-40B4-BE49-F238E27FC236}">
                <a16:creationId xmlns:a16="http://schemas.microsoft.com/office/drawing/2014/main" id="{C8146A12-974F-0211-1F14-B80EA0AE7A3A}"/>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12" name="Rectangle 11">
            <a:extLst>
              <a:ext uri="{FF2B5EF4-FFF2-40B4-BE49-F238E27FC236}">
                <a16:creationId xmlns:a16="http://schemas.microsoft.com/office/drawing/2014/main" id="{522075B7-E3FE-72D7-F706-41F8EBDE316C}"/>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13" name="Rectangle 12">
            <a:extLst>
              <a:ext uri="{FF2B5EF4-FFF2-40B4-BE49-F238E27FC236}">
                <a16:creationId xmlns:a16="http://schemas.microsoft.com/office/drawing/2014/main" id="{F6D2D2ED-C59B-914A-9543-F816F681F4F2}"/>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14" name="Rectangle 13">
            <a:extLst>
              <a:ext uri="{FF2B5EF4-FFF2-40B4-BE49-F238E27FC236}">
                <a16:creationId xmlns:a16="http://schemas.microsoft.com/office/drawing/2014/main" id="{D2FC863F-B94F-2CC9-7AF3-E902CA3E61B4}"/>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15" name="Rectangle 14">
            <a:extLst>
              <a:ext uri="{FF2B5EF4-FFF2-40B4-BE49-F238E27FC236}">
                <a16:creationId xmlns:a16="http://schemas.microsoft.com/office/drawing/2014/main" id="{1CE52E4B-8A74-C544-7AC5-BF7BC6BF565B}"/>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16" name="Rectangle 15">
            <a:extLst>
              <a:ext uri="{FF2B5EF4-FFF2-40B4-BE49-F238E27FC236}">
                <a16:creationId xmlns:a16="http://schemas.microsoft.com/office/drawing/2014/main" id="{580FDDA6-3B9E-F3E2-A500-CCE583F6C79C}"/>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17" name="TextBox 16">
            <a:extLst>
              <a:ext uri="{FF2B5EF4-FFF2-40B4-BE49-F238E27FC236}">
                <a16:creationId xmlns:a16="http://schemas.microsoft.com/office/drawing/2014/main" id="{E0C5982F-F4EC-55D3-3D8B-6D723391C82F}"/>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18" name="Text Box 46">
            <a:extLst>
              <a:ext uri="{FF2B5EF4-FFF2-40B4-BE49-F238E27FC236}">
                <a16:creationId xmlns:a16="http://schemas.microsoft.com/office/drawing/2014/main" id="{610CD56F-A7AD-D417-3C51-141DB9749769}"/>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19" name="Text Box 46">
            <a:extLst>
              <a:ext uri="{FF2B5EF4-FFF2-40B4-BE49-F238E27FC236}">
                <a16:creationId xmlns:a16="http://schemas.microsoft.com/office/drawing/2014/main" id="{202979A8-2377-00B9-94DD-294B80F8EF04}"/>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20" name="Text Box 39">
            <a:extLst>
              <a:ext uri="{FF2B5EF4-FFF2-40B4-BE49-F238E27FC236}">
                <a16:creationId xmlns:a16="http://schemas.microsoft.com/office/drawing/2014/main" id="{A3E32E5A-0331-41C2-9232-F76532743258}"/>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21" name="Rectangle 20">
            <a:extLst>
              <a:ext uri="{FF2B5EF4-FFF2-40B4-BE49-F238E27FC236}">
                <a16:creationId xmlns:a16="http://schemas.microsoft.com/office/drawing/2014/main" id="{C3E46329-511B-88BA-5A11-F2468069A109}"/>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22" name="Text Box 39">
            <a:extLst>
              <a:ext uri="{FF2B5EF4-FFF2-40B4-BE49-F238E27FC236}">
                <a16:creationId xmlns:a16="http://schemas.microsoft.com/office/drawing/2014/main" id="{87EA7652-B589-DC09-690B-E9C011ECD326}"/>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23" name="Text Box 46">
            <a:extLst>
              <a:ext uri="{FF2B5EF4-FFF2-40B4-BE49-F238E27FC236}">
                <a16:creationId xmlns:a16="http://schemas.microsoft.com/office/drawing/2014/main" id="{67105782-1C1E-CA14-6C00-C36BAAE355B9}"/>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24" name="Text Box 46">
            <a:extLst>
              <a:ext uri="{FF2B5EF4-FFF2-40B4-BE49-F238E27FC236}">
                <a16:creationId xmlns:a16="http://schemas.microsoft.com/office/drawing/2014/main" id="{32E17121-E6A9-9237-CC68-3AE055B58A53}"/>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652635</xdr:colOff>
      <xdr:row>6</xdr:row>
      <xdr:rowOff>0</xdr:rowOff>
    </xdr:from>
    <xdr:to>
      <xdr:col>6</xdr:col>
      <xdr:colOff>397092</xdr:colOff>
      <xdr:row>13</xdr:row>
      <xdr:rowOff>97155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4510260" y="1524000"/>
          <a:ext cx="1417047" cy="1093470"/>
        </a:xfrm>
        <a:prstGeom prst="rect">
          <a:avLst/>
        </a:prstGeom>
      </xdr:spPr>
    </xdr:pic>
    <xdr:clientData/>
  </xdr:twoCellAnchor>
  <xdr:oneCellAnchor>
    <xdr:from>
      <xdr:col>0</xdr:col>
      <xdr:colOff>0</xdr:colOff>
      <xdr:row>44</xdr:row>
      <xdr:rowOff>0</xdr:rowOff>
    </xdr:from>
    <xdr:ext cx="65" cy="172227"/>
    <xdr:sp macro="" textlink="">
      <xdr:nvSpPr>
        <xdr:cNvPr id="152" name="TextBox 151">
          <a:extLst>
            <a:ext uri="{FF2B5EF4-FFF2-40B4-BE49-F238E27FC236}">
              <a16:creationId xmlns:a16="http://schemas.microsoft.com/office/drawing/2014/main" id="{00000000-0008-0000-0400-000098000000}"/>
            </a:ext>
          </a:extLst>
        </xdr:cNvPr>
        <xdr:cNvSpPr txBox="1"/>
      </xdr:nvSpPr>
      <xdr:spPr>
        <a:xfrm>
          <a:off x="6038850" y="71913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AU" sz="1100"/>
        </a:p>
      </xdr:txBody>
    </xdr:sp>
    <xdr:clientData/>
  </xdr:oneCellAnchor>
  <xdr:oneCellAnchor>
    <xdr:from>
      <xdr:col>0</xdr:col>
      <xdr:colOff>19050</xdr:colOff>
      <xdr:row>60</xdr:row>
      <xdr:rowOff>5715</xdr:rowOff>
    </xdr:from>
    <xdr:ext cx="999697" cy="346570"/>
    <mc:AlternateContent xmlns:mc="http://schemas.openxmlformats.org/markup-compatibility/2006" xmlns:a14="http://schemas.microsoft.com/office/drawing/2010/main">
      <mc:Choice Requires="a14">
        <xdr:sp macro="" textlink="">
          <xdr:nvSpPr>
            <xdr:cNvPr id="367" name="TextBox 366">
              <a:extLst>
                <a:ext uri="{FF2B5EF4-FFF2-40B4-BE49-F238E27FC236}">
                  <a16:creationId xmlns:a16="http://schemas.microsoft.com/office/drawing/2014/main" id="{00000000-0008-0000-0400-00006F010000}"/>
                </a:ext>
              </a:extLst>
            </xdr:cNvPr>
            <xdr:cNvSpPr txBox="1"/>
          </xdr:nvSpPr>
          <xdr:spPr>
            <a:xfrm>
              <a:off x="19050" y="9978390"/>
              <a:ext cx="999697" cy="346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𝑘</m:t>
                    </m:r>
                    <m:r>
                      <a:rPr lang="en-GB" sz="1100" b="0" i="1">
                        <a:latin typeface="Cambria Math" panose="02040503050406030204" pitchFamily="18" charset="0"/>
                      </a:rPr>
                      <m:t>= </m:t>
                    </m:r>
                    <m:f>
                      <m:fPr>
                        <m:ctrlPr>
                          <a:rPr lang="en-GB" sz="1100" b="0" i="1">
                            <a:latin typeface="Cambria Math" panose="02040503050406030204" pitchFamily="18" charset="0"/>
                          </a:rPr>
                        </m:ctrlPr>
                      </m:fPr>
                      <m:num>
                        <m:r>
                          <a:rPr lang="en-GB" sz="1100" b="0" i="1">
                            <a:latin typeface="Cambria Math" panose="02040503050406030204" pitchFamily="18" charset="0"/>
                          </a:rPr>
                          <m:t>𝑀</m:t>
                        </m:r>
                      </m:num>
                      <m:den>
                        <m:r>
                          <a:rPr lang="en-GB" sz="1100" b="0" i="1">
                            <a:latin typeface="Cambria Math" panose="02040503050406030204" pitchFamily="18" charset="0"/>
                          </a:rPr>
                          <m:t>𝑏</m:t>
                        </m:r>
                        <m:r>
                          <a:rPr lang="en-GB" sz="1100" b="0" i="1">
                            <a:latin typeface="Cambria Math" panose="02040503050406030204" pitchFamily="18" charset="0"/>
                          </a:rPr>
                          <m:t>∗</m:t>
                        </m:r>
                        <m:sSup>
                          <m:sSupPr>
                            <m:ctrlPr>
                              <a:rPr lang="en-GB" sz="1100" b="0" i="1">
                                <a:latin typeface="Cambria Math" panose="02040503050406030204" pitchFamily="18" charset="0"/>
                              </a:rPr>
                            </m:ctrlPr>
                          </m:sSupPr>
                          <m:e>
                            <m:r>
                              <a:rPr lang="en-GB" sz="1100" b="0" i="1">
                                <a:latin typeface="Cambria Math" panose="02040503050406030204" pitchFamily="18" charset="0"/>
                              </a:rPr>
                              <m:t>𝑑</m:t>
                            </m:r>
                          </m:e>
                          <m:sup>
                            <m:r>
                              <a:rPr lang="en-GB" sz="1100" b="0" i="1">
                                <a:latin typeface="Cambria Math" panose="02040503050406030204" pitchFamily="18" charset="0"/>
                              </a:rPr>
                              <m:t>2</m:t>
                            </m:r>
                          </m:sup>
                        </m:sSup>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𝑐𝑘</m:t>
                            </m:r>
                          </m:sub>
                        </m:sSub>
                      </m:den>
                    </m:f>
                  </m:oMath>
                </m:oMathPara>
              </a14:m>
              <a:endParaRPr lang="en-AU" sz="1100"/>
            </a:p>
          </xdr:txBody>
        </xdr:sp>
      </mc:Choice>
      <mc:Fallback xmlns="">
        <xdr:sp macro="" textlink="">
          <xdr:nvSpPr>
            <xdr:cNvPr id="367" name="TextBox 366">
              <a:extLst>
                <a:ext uri="{FF2B5EF4-FFF2-40B4-BE49-F238E27FC236}">
                  <a16:creationId xmlns:a16="http://schemas.microsoft.com/office/drawing/2014/main" id="{5B14B030-DF9F-4A90-B104-2001567052E3}"/>
                </a:ext>
              </a:extLst>
            </xdr:cNvPr>
            <xdr:cNvSpPr txBox="1"/>
          </xdr:nvSpPr>
          <xdr:spPr>
            <a:xfrm>
              <a:off x="19050" y="9978390"/>
              <a:ext cx="999697" cy="346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𝑘=  𝑀/(𝑏∗𝑑^2∗𝑓_𝑐𝑘 )</a:t>
              </a:r>
              <a:endParaRPr lang="en-AU" sz="1100"/>
            </a:p>
          </xdr:txBody>
        </xdr:sp>
      </mc:Fallback>
    </mc:AlternateContent>
    <xdr:clientData/>
  </xdr:oneCellAnchor>
  <xdr:oneCellAnchor>
    <xdr:from>
      <xdr:col>0</xdr:col>
      <xdr:colOff>0</xdr:colOff>
      <xdr:row>66</xdr:row>
      <xdr:rowOff>0</xdr:rowOff>
    </xdr:from>
    <xdr:ext cx="987258" cy="364395"/>
    <mc:AlternateContent xmlns:mc="http://schemas.openxmlformats.org/markup-compatibility/2006" xmlns:a14="http://schemas.microsoft.com/office/drawing/2010/main">
      <mc:Choice Requires="a14">
        <xdr:sp macro="" textlink="">
          <xdr:nvSpPr>
            <xdr:cNvPr id="431" name="TextBox 430">
              <a:extLst>
                <a:ext uri="{FF2B5EF4-FFF2-40B4-BE49-F238E27FC236}">
                  <a16:creationId xmlns:a16="http://schemas.microsoft.com/office/drawing/2014/main" id="{00000000-0008-0000-0400-0000AF010000}"/>
                </a:ext>
              </a:extLst>
            </xdr:cNvPr>
            <xdr:cNvSpPr txBox="1"/>
          </xdr:nvSpPr>
          <xdr:spPr>
            <a:xfrm>
              <a:off x="0" y="11239500"/>
              <a:ext cx="987258" cy="364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𝐴</m:t>
                        </m:r>
                      </m:e>
                      <m:sub>
                        <m:r>
                          <a:rPr lang="en-GB" sz="1100" b="0" i="1">
                            <a:latin typeface="Cambria Math" panose="02040503050406030204" pitchFamily="18" charset="0"/>
                          </a:rPr>
                          <m:t>𝑠</m:t>
                        </m:r>
                      </m:sub>
                    </m:sSub>
                    <m:r>
                      <a:rPr lang="en-GB" sz="1100" b="0" i="1">
                        <a:latin typeface="Cambria Math" panose="02040503050406030204" pitchFamily="18" charset="0"/>
                      </a:rPr>
                      <m:t>=</m:t>
                    </m:r>
                    <m:f>
                      <m:fPr>
                        <m:ctrlPr>
                          <a:rPr lang="en-AU" sz="1100" i="1">
                            <a:latin typeface="Cambria Math" panose="02040503050406030204" pitchFamily="18" charset="0"/>
                          </a:rPr>
                        </m:ctrlPr>
                      </m:fPr>
                      <m:num>
                        <m:r>
                          <a:rPr lang="en-GB" sz="1100" b="0" i="1">
                            <a:latin typeface="Cambria Math" panose="02040503050406030204" pitchFamily="18" charset="0"/>
                          </a:rPr>
                          <m:t>𝑀</m:t>
                        </m:r>
                      </m:num>
                      <m:den>
                        <m:r>
                          <m:rPr>
                            <m:sty m:val="p"/>
                          </m:rPr>
                          <a:rPr lang="el-GR" sz="1100" i="1">
                            <a:latin typeface="Cambria Math" panose="02040503050406030204" pitchFamily="18" charset="0"/>
                          </a:rPr>
                          <m:t>γ</m:t>
                        </m:r>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𝑠𝑦</m:t>
                            </m:r>
                          </m:sub>
                        </m:sSub>
                        <m:r>
                          <a:rPr lang="en-GB" sz="1100" b="0" i="1">
                            <a:latin typeface="Cambria Math" panose="02040503050406030204" pitchFamily="18" charset="0"/>
                          </a:rPr>
                          <m:t>∗</m:t>
                        </m:r>
                        <m:r>
                          <a:rPr lang="en-GB" sz="1100" b="0" i="1">
                            <a:latin typeface="Cambria Math" panose="02040503050406030204" pitchFamily="18" charset="0"/>
                          </a:rPr>
                          <m:t>𝑍</m:t>
                        </m:r>
                      </m:den>
                    </m:f>
                  </m:oMath>
                </m:oMathPara>
              </a14:m>
              <a:endParaRPr lang="en-AU" sz="1100"/>
            </a:p>
          </xdr:txBody>
        </xdr:sp>
      </mc:Choice>
      <mc:Fallback xmlns="">
        <xdr:sp macro="" textlink="">
          <xdr:nvSpPr>
            <xdr:cNvPr id="431" name="TextBox 430">
              <a:extLst>
                <a:ext uri="{FF2B5EF4-FFF2-40B4-BE49-F238E27FC236}">
                  <a16:creationId xmlns:a16="http://schemas.microsoft.com/office/drawing/2014/main" id="{677FE2FA-7D96-46A1-8BB3-8406A3A9D416}"/>
                </a:ext>
              </a:extLst>
            </xdr:cNvPr>
            <xdr:cNvSpPr txBox="1"/>
          </xdr:nvSpPr>
          <xdr:spPr>
            <a:xfrm>
              <a:off x="0" y="11239500"/>
              <a:ext cx="987258" cy="364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𝐴</a:t>
              </a:r>
              <a:r>
                <a:rPr lang="en-AU" sz="1100" b="0" i="0">
                  <a:latin typeface="Cambria Math" panose="02040503050406030204" pitchFamily="18" charset="0"/>
                </a:rPr>
                <a:t>_</a:t>
              </a:r>
              <a:r>
                <a:rPr lang="en-GB" sz="1100" b="0" i="0">
                  <a:latin typeface="Cambria Math" panose="02040503050406030204" pitchFamily="18" charset="0"/>
                </a:rPr>
                <a:t>𝑠=𝑀</a:t>
              </a:r>
              <a:r>
                <a:rPr lang="en-AU" sz="1100" b="0" i="0">
                  <a:latin typeface="Cambria Math" panose="02040503050406030204" pitchFamily="18" charset="0"/>
                </a:rPr>
                <a:t>/(</a:t>
              </a:r>
              <a:r>
                <a:rPr lang="el-GR" sz="1100" i="0">
                  <a:latin typeface="Cambria Math" panose="02040503050406030204" pitchFamily="18" charset="0"/>
                </a:rPr>
                <a:t>γ</a:t>
              </a:r>
              <a:r>
                <a:rPr lang="en-GB" sz="1100" b="0" i="0">
                  <a:latin typeface="Cambria Math" panose="02040503050406030204" pitchFamily="18" charset="0"/>
                </a:rPr>
                <a:t>∗ 𝑓_𝑠𝑦∗𝑍</a:t>
              </a:r>
              <a:r>
                <a:rPr lang="en-AU" sz="1100" b="0" i="0">
                  <a:latin typeface="Cambria Math" panose="02040503050406030204" pitchFamily="18" charset="0"/>
                </a:rPr>
                <a:t>)</a:t>
              </a:r>
              <a:endParaRPr lang="en-AU" sz="1100"/>
            </a:p>
          </xdr:txBody>
        </xdr:sp>
      </mc:Fallback>
    </mc:AlternateContent>
    <xdr:clientData/>
  </xdr:oneCellAnchor>
  <xdr:oneCellAnchor>
    <xdr:from>
      <xdr:col>0</xdr:col>
      <xdr:colOff>0</xdr:colOff>
      <xdr:row>68</xdr:row>
      <xdr:rowOff>0</xdr:rowOff>
    </xdr:from>
    <xdr:ext cx="1031757" cy="351058"/>
    <mc:AlternateContent xmlns:mc="http://schemas.openxmlformats.org/markup-compatibility/2006" xmlns:a14="http://schemas.microsoft.com/office/drawing/2010/main">
      <mc:Choice Requires="a14">
        <xdr:sp macro="" textlink="">
          <xdr:nvSpPr>
            <xdr:cNvPr id="516" name="TextBox 515">
              <a:extLst>
                <a:ext uri="{FF2B5EF4-FFF2-40B4-BE49-F238E27FC236}">
                  <a16:creationId xmlns:a16="http://schemas.microsoft.com/office/drawing/2014/main" id="{00000000-0008-0000-0400-000004020000}"/>
                </a:ext>
              </a:extLst>
            </xdr:cNvPr>
            <xdr:cNvSpPr txBox="1"/>
          </xdr:nvSpPr>
          <xdr:spPr>
            <a:xfrm>
              <a:off x="0" y="11782425"/>
              <a:ext cx="1031757" cy="35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AU" sz="1100" i="1">
                            <a:latin typeface="Cambria Math" panose="02040503050406030204" pitchFamily="18" charset="0"/>
                          </a:rPr>
                        </m:ctrlPr>
                      </m:fPr>
                      <m:num>
                        <m:r>
                          <m:rPr>
                            <m:sty m:val="p"/>
                          </m:rPr>
                          <a:rPr lang="el-GR" sz="1100" i="1">
                            <a:latin typeface="Cambria Math" panose="02040503050406030204" pitchFamily="18" charset="0"/>
                          </a:rPr>
                          <m:t>π</m:t>
                        </m:r>
                      </m:num>
                      <m:den>
                        <m:r>
                          <a:rPr lang="en-GB" sz="1100" b="0" i="1">
                            <a:latin typeface="Cambria Math" panose="02040503050406030204" pitchFamily="18" charset="0"/>
                          </a:rPr>
                          <m:t>4</m:t>
                        </m:r>
                      </m:den>
                    </m:f>
                    <m:r>
                      <a:rPr lang="en-GB" sz="1100" b="0" i="1">
                        <a:latin typeface="Cambria Math" panose="02040503050406030204" pitchFamily="18" charset="0"/>
                      </a:rPr>
                      <m:t>∗</m:t>
                    </m:r>
                    <m:sSup>
                      <m:sSupPr>
                        <m:ctrlPr>
                          <a:rPr lang="en-GB" sz="1100" b="0" i="1">
                            <a:latin typeface="Cambria Math" panose="02040503050406030204" pitchFamily="18" charset="0"/>
                          </a:rPr>
                        </m:ctrlPr>
                      </m:sSupPr>
                      <m:e>
                        <m:r>
                          <a:rPr lang="en-GB" sz="1100" b="0" i="1">
                            <a:latin typeface="Cambria Math" panose="02040503050406030204" pitchFamily="18" charset="0"/>
                          </a:rPr>
                          <m:t>𝑑</m:t>
                        </m:r>
                      </m:e>
                      <m:sup>
                        <m:r>
                          <a:rPr lang="en-GB" sz="1100" b="0" i="1">
                            <a:latin typeface="Cambria Math" panose="02040503050406030204" pitchFamily="18" charset="0"/>
                          </a:rPr>
                          <m:t>2</m:t>
                        </m:r>
                      </m:sup>
                    </m:sSup>
                    <m:r>
                      <a:rPr lang="en-GB" sz="1100" b="0" i="1">
                        <a:latin typeface="Cambria Math" panose="02040503050406030204" pitchFamily="18" charset="0"/>
                      </a:rPr>
                      <m:t>∗</m:t>
                    </m:r>
                    <m:f>
                      <m:fPr>
                        <m:ctrlPr>
                          <a:rPr lang="en-GB" sz="1100" b="0" i="1">
                            <a:latin typeface="Cambria Math" panose="02040503050406030204" pitchFamily="18" charset="0"/>
                          </a:rPr>
                        </m:ctrlPr>
                      </m:fPr>
                      <m:num>
                        <m:r>
                          <a:rPr lang="en-GB" sz="1100" b="0" i="1">
                            <a:latin typeface="Cambria Math" panose="02040503050406030204" pitchFamily="18" charset="0"/>
                          </a:rPr>
                          <m:t>𝑙𝑒𝑛𝑔𝑡h</m:t>
                        </m:r>
                      </m:num>
                      <m:den>
                        <m:r>
                          <a:rPr lang="en-GB" sz="1100" b="0" i="1">
                            <a:latin typeface="Cambria Math" panose="02040503050406030204" pitchFamily="18" charset="0"/>
                          </a:rPr>
                          <m:t>𝑠𝑝𝑎𝑐𝑖𝑛𝑔</m:t>
                        </m:r>
                      </m:den>
                    </m:f>
                  </m:oMath>
                </m:oMathPara>
              </a14:m>
              <a:endParaRPr lang="en-AU" sz="1100"/>
            </a:p>
          </xdr:txBody>
        </xdr:sp>
      </mc:Choice>
      <mc:Fallback xmlns="">
        <xdr:sp macro="" textlink="">
          <xdr:nvSpPr>
            <xdr:cNvPr id="516" name="TextBox 515">
              <a:extLst>
                <a:ext uri="{FF2B5EF4-FFF2-40B4-BE49-F238E27FC236}">
                  <a16:creationId xmlns:a16="http://schemas.microsoft.com/office/drawing/2014/main" id="{F9921E0B-3932-4913-A3E4-68A5F3AE4605}"/>
                </a:ext>
              </a:extLst>
            </xdr:cNvPr>
            <xdr:cNvSpPr txBox="1"/>
          </xdr:nvSpPr>
          <xdr:spPr>
            <a:xfrm>
              <a:off x="0" y="11782425"/>
              <a:ext cx="1031757" cy="35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l-GR" sz="1100" i="0">
                  <a:latin typeface="Cambria Math" panose="02040503050406030204" pitchFamily="18" charset="0"/>
                </a:rPr>
                <a:t>π</a:t>
              </a:r>
              <a:r>
                <a:rPr lang="en-AU" sz="1100" i="0">
                  <a:latin typeface="Cambria Math" panose="02040503050406030204" pitchFamily="18" charset="0"/>
                </a:rPr>
                <a:t>/</a:t>
              </a:r>
              <a:r>
                <a:rPr lang="en-GB" sz="1100" b="0" i="0">
                  <a:latin typeface="Cambria Math" panose="02040503050406030204" pitchFamily="18" charset="0"/>
                </a:rPr>
                <a:t>4∗𝑑^2∗𝑙𝑒𝑛𝑔𝑡ℎ/𝑠𝑝𝑎𝑐𝑖𝑛𝑔</a:t>
              </a:r>
              <a:endParaRPr lang="en-AU" sz="1100"/>
            </a:p>
          </xdr:txBody>
        </xdr:sp>
      </mc:Fallback>
    </mc:AlternateContent>
    <xdr:clientData/>
  </xdr:oneCellAnchor>
  <xdr:oneCellAnchor>
    <xdr:from>
      <xdr:col>0</xdr:col>
      <xdr:colOff>0</xdr:colOff>
      <xdr:row>78</xdr:row>
      <xdr:rowOff>0</xdr:rowOff>
    </xdr:from>
    <xdr:ext cx="1620444" cy="183127"/>
    <mc:AlternateContent xmlns:mc="http://schemas.openxmlformats.org/markup-compatibility/2006" xmlns:a14="http://schemas.microsoft.com/office/drawing/2010/main">
      <mc:Choice Requires="a14">
        <xdr:sp macro="" textlink="">
          <xdr:nvSpPr>
            <xdr:cNvPr id="685" name="TextBox 684">
              <a:extLst>
                <a:ext uri="{FF2B5EF4-FFF2-40B4-BE49-F238E27FC236}">
                  <a16:creationId xmlns:a16="http://schemas.microsoft.com/office/drawing/2014/main" id="{00000000-0008-0000-0400-0000AD020000}"/>
                </a:ext>
              </a:extLst>
            </xdr:cNvPr>
            <xdr:cNvSpPr txBox="1"/>
          </xdr:nvSpPr>
          <xdr:spPr>
            <a:xfrm>
              <a:off x="0" y="13515975"/>
              <a:ext cx="162044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𝐶𝑐</m:t>
                    </m:r>
                    <m:r>
                      <a:rPr lang="en-GB" sz="1100" b="0" i="1">
                        <a:latin typeface="Cambria Math" panose="02040503050406030204" pitchFamily="18" charset="0"/>
                      </a:rPr>
                      <m:t>= </m:t>
                    </m:r>
                    <m:r>
                      <m:rPr>
                        <m:sty m:val="p"/>
                      </m:rPr>
                      <a:rPr lang="el-GR" sz="1100" b="0" i="1">
                        <a:latin typeface="Cambria Math" panose="02040503050406030204" pitchFamily="18" charset="0"/>
                      </a:rPr>
                      <m:t>α</m:t>
                    </m:r>
                    <m:r>
                      <a:rPr lang="en-GB" sz="1100" b="0" i="1">
                        <a:latin typeface="Cambria Math" panose="02040503050406030204" pitchFamily="18" charset="0"/>
                      </a:rPr>
                      <m:t>∗</m:t>
                    </m:r>
                    <m:r>
                      <m:rPr>
                        <m:sty m:val="p"/>
                      </m:rPr>
                      <a:rPr lang="el-GR" sz="1100" b="0" i="1">
                        <a:latin typeface="Cambria Math" panose="02040503050406030204" pitchFamily="18" charset="0"/>
                      </a:rPr>
                      <m:t>γ</m:t>
                    </m:r>
                    <m:r>
                      <a:rPr lang="en-GB" sz="1100" b="0" i="1">
                        <a:latin typeface="Cambria Math" panose="02040503050406030204" pitchFamily="18" charset="0"/>
                      </a:rPr>
                      <m:t>∗</m:t>
                    </m:r>
                    <m:sSubSup>
                      <m:sSubSupPr>
                        <m:ctrlPr>
                          <a:rPr lang="en-GB" sz="1100" b="0" i="1">
                            <a:latin typeface="Cambria Math" panose="02040503050406030204" pitchFamily="18" charset="0"/>
                          </a:rPr>
                        </m:ctrlPr>
                      </m:sSubSupPr>
                      <m:e>
                        <m:r>
                          <a:rPr lang="en-GB" sz="1100" b="0" i="1">
                            <a:latin typeface="Cambria Math" panose="02040503050406030204" pitchFamily="18" charset="0"/>
                          </a:rPr>
                          <m:t>𝑓</m:t>
                        </m:r>
                      </m:e>
                      <m:sub>
                        <m:r>
                          <a:rPr lang="en-GB" sz="1100" b="0" i="1">
                            <a:latin typeface="Cambria Math" panose="02040503050406030204" pitchFamily="18" charset="0"/>
                          </a:rPr>
                          <m:t>𝑐</m:t>
                        </m:r>
                      </m:sub>
                      <m:sup>
                        <m:r>
                          <a:rPr lang="en-GB" sz="1100" b="0" i="1">
                            <a:latin typeface="Cambria Math" panose="02040503050406030204" pitchFamily="18" charset="0"/>
                          </a:rPr>
                          <m:t>′</m:t>
                        </m:r>
                      </m:sup>
                    </m:sSubSup>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𝑏</m:t>
                        </m:r>
                      </m:e>
                      <m:sub>
                        <m:r>
                          <a:rPr lang="en-GB" sz="1100" b="0" i="1">
                            <a:latin typeface="Cambria Math" panose="02040503050406030204" pitchFamily="18" charset="0"/>
                          </a:rPr>
                          <m:t>𝑒𝑓𝑓</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oMath>
                </m:oMathPara>
              </a14:m>
              <a:endParaRPr lang="en-AU" sz="1100"/>
            </a:p>
          </xdr:txBody>
        </xdr:sp>
      </mc:Choice>
      <mc:Fallback xmlns="">
        <xdr:sp macro="" textlink="">
          <xdr:nvSpPr>
            <xdr:cNvPr id="685" name="TextBox 684">
              <a:extLst>
                <a:ext uri="{FF2B5EF4-FFF2-40B4-BE49-F238E27FC236}">
                  <a16:creationId xmlns:a16="http://schemas.microsoft.com/office/drawing/2014/main" id="{7EFD655B-786B-418E-A3DD-B6F48C20203A}"/>
                </a:ext>
              </a:extLst>
            </xdr:cNvPr>
            <xdr:cNvSpPr txBox="1"/>
          </xdr:nvSpPr>
          <xdr:spPr>
            <a:xfrm>
              <a:off x="0" y="13515975"/>
              <a:ext cx="162044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𝐶𝑐= </a:t>
              </a:r>
              <a:r>
                <a:rPr lang="el-GR" sz="1100" b="0" i="0">
                  <a:latin typeface="Cambria Math" panose="02040503050406030204" pitchFamily="18" charset="0"/>
                </a:rPr>
                <a:t>α</a:t>
              </a:r>
              <a:r>
                <a:rPr lang="en-GB" sz="1100" b="0" i="0">
                  <a:latin typeface="Cambria Math" panose="02040503050406030204" pitchFamily="18" charset="0"/>
                </a:rPr>
                <a:t>∗</a:t>
              </a:r>
              <a:r>
                <a:rPr lang="el-GR" sz="1100" b="0" i="0">
                  <a:latin typeface="Cambria Math" panose="02040503050406030204" pitchFamily="18" charset="0"/>
                </a:rPr>
                <a:t>γ</a:t>
              </a:r>
              <a:r>
                <a:rPr lang="en-GB" sz="1100" b="0" i="0">
                  <a:latin typeface="Cambria Math" panose="02040503050406030204" pitchFamily="18" charset="0"/>
                </a:rPr>
                <a:t>∗𝑓_𝑐^′∗𝑏_𝑒𝑓𝑓∗𝑑_𝑛</a:t>
              </a:r>
              <a:endParaRPr lang="en-AU" sz="1100"/>
            </a:p>
          </xdr:txBody>
        </xdr:sp>
      </mc:Fallback>
    </mc:AlternateContent>
    <xdr:clientData/>
  </xdr:oneCellAnchor>
  <xdr:oneCellAnchor>
    <xdr:from>
      <xdr:col>0</xdr:col>
      <xdr:colOff>28575</xdr:colOff>
      <xdr:row>79</xdr:row>
      <xdr:rowOff>28575</xdr:rowOff>
    </xdr:from>
    <xdr:ext cx="886974" cy="182935"/>
    <mc:AlternateContent xmlns:mc="http://schemas.openxmlformats.org/markup-compatibility/2006" xmlns:a14="http://schemas.microsoft.com/office/drawing/2010/main">
      <mc:Choice Requires="a14">
        <xdr:sp macro="" textlink="">
          <xdr:nvSpPr>
            <xdr:cNvPr id="686" name="TextBox 685">
              <a:extLst>
                <a:ext uri="{FF2B5EF4-FFF2-40B4-BE49-F238E27FC236}">
                  <a16:creationId xmlns:a16="http://schemas.microsoft.com/office/drawing/2014/main" id="{00000000-0008-0000-0400-0000AE020000}"/>
                </a:ext>
              </a:extLst>
            </xdr:cNvPr>
            <xdr:cNvSpPr txBox="1"/>
          </xdr:nvSpPr>
          <xdr:spPr>
            <a:xfrm>
              <a:off x="28575" y="13754100"/>
              <a:ext cx="886974"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𝑇𝑡</m:t>
                    </m:r>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𝑠𝑦</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𝐴</m:t>
                        </m:r>
                      </m:e>
                      <m:sub>
                        <m:r>
                          <a:rPr lang="en-GB" sz="1100" b="0" i="1">
                            <a:latin typeface="Cambria Math" panose="02040503050406030204" pitchFamily="18" charset="0"/>
                          </a:rPr>
                          <m:t>𝑠𝑡</m:t>
                        </m:r>
                      </m:sub>
                    </m:sSub>
                  </m:oMath>
                </m:oMathPara>
              </a14:m>
              <a:endParaRPr lang="en-AU" sz="1100"/>
            </a:p>
          </xdr:txBody>
        </xdr:sp>
      </mc:Choice>
      <mc:Fallback xmlns="">
        <xdr:sp macro="" textlink="">
          <xdr:nvSpPr>
            <xdr:cNvPr id="686" name="TextBox 685">
              <a:extLst>
                <a:ext uri="{FF2B5EF4-FFF2-40B4-BE49-F238E27FC236}">
                  <a16:creationId xmlns:a16="http://schemas.microsoft.com/office/drawing/2014/main" id="{D0A40F72-81A7-484E-BD7F-1333DE8456D6}"/>
                </a:ext>
              </a:extLst>
            </xdr:cNvPr>
            <xdr:cNvSpPr txBox="1"/>
          </xdr:nvSpPr>
          <xdr:spPr>
            <a:xfrm>
              <a:off x="28575" y="13754100"/>
              <a:ext cx="886974"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𝑇𝑡= 𝑓_𝑠𝑦∗𝐴_𝑠𝑡</a:t>
              </a:r>
              <a:endParaRPr lang="en-AU" sz="1100"/>
            </a:p>
          </xdr:txBody>
        </xdr:sp>
      </mc:Fallback>
    </mc:AlternateContent>
    <xdr:clientData/>
  </xdr:oneCellAnchor>
  <xdr:oneCellAnchor>
    <xdr:from>
      <xdr:col>0</xdr:col>
      <xdr:colOff>0</xdr:colOff>
      <xdr:row>80</xdr:row>
      <xdr:rowOff>0</xdr:rowOff>
    </xdr:from>
    <xdr:ext cx="1982209" cy="408189"/>
    <mc:AlternateContent xmlns:mc="http://schemas.openxmlformats.org/markup-compatibility/2006" xmlns:a14="http://schemas.microsoft.com/office/drawing/2010/main">
      <mc:Choice Requires="a14">
        <xdr:sp macro="" textlink="">
          <xdr:nvSpPr>
            <xdr:cNvPr id="687" name="TextBox 686">
              <a:extLst>
                <a:ext uri="{FF2B5EF4-FFF2-40B4-BE49-F238E27FC236}">
                  <a16:creationId xmlns:a16="http://schemas.microsoft.com/office/drawing/2014/main" id="{00000000-0008-0000-0400-0000AF020000}"/>
                </a:ext>
              </a:extLst>
            </xdr:cNvPr>
            <xdr:cNvSpPr txBox="1"/>
          </xdr:nvSpPr>
          <xdr:spPr>
            <a:xfrm>
              <a:off x="0" y="13963650"/>
              <a:ext cx="1982209" cy="408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𝐶</m:t>
                        </m:r>
                      </m:e>
                      <m:sub>
                        <m:r>
                          <a:rPr lang="en-GB" sz="1100" b="0" i="1">
                            <a:latin typeface="Cambria Math" panose="02040503050406030204" pitchFamily="18" charset="0"/>
                          </a:rPr>
                          <m:t>𝑐</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𝑇</m:t>
                        </m:r>
                      </m:e>
                      <m:sub>
                        <m:r>
                          <a:rPr lang="en-GB" sz="1100" b="0" i="1">
                            <a:latin typeface="Cambria Math" panose="02040503050406030204" pitchFamily="18" charset="0"/>
                          </a:rPr>
                          <m:t>𝑡</m:t>
                        </m:r>
                      </m:sub>
                    </m:sSub>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r>
                      <a:rPr lang="en-GB" sz="1100" b="0" i="1">
                        <a:latin typeface="Cambria Math" panose="02040503050406030204" pitchFamily="18" charset="0"/>
                      </a:rPr>
                      <m:t>= </m:t>
                    </m:r>
                    <m:f>
                      <m:fPr>
                        <m:ctrlPr>
                          <a:rPr lang="en-GB" sz="1100" b="0" i="1">
                            <a:latin typeface="Cambria Math" panose="02040503050406030204" pitchFamily="18" charset="0"/>
                          </a:rPr>
                        </m:ctrlPr>
                      </m:fPr>
                      <m:num>
                        <m:r>
                          <m:rPr>
                            <m:sty m:val="p"/>
                          </m:rPr>
                          <a:rPr lang="el-GR" sz="1100" b="0" i="1">
                            <a:solidFill>
                              <a:schemeClr val="tx1"/>
                            </a:solidFill>
                            <a:effectLst/>
                            <a:latin typeface="Cambria Math" panose="02040503050406030204" pitchFamily="18" charset="0"/>
                            <a:ea typeface="+mn-ea"/>
                            <a:cs typeface="+mn-cs"/>
                          </a:rPr>
                          <m:t>α</m:t>
                        </m:r>
                        <m:r>
                          <a:rPr lang="en-GB" sz="1100" b="0" i="1">
                            <a:solidFill>
                              <a:schemeClr val="tx1"/>
                            </a:solidFill>
                            <a:effectLst/>
                            <a:latin typeface="Cambria Math" panose="02040503050406030204" pitchFamily="18" charset="0"/>
                            <a:ea typeface="+mn-ea"/>
                            <a:cs typeface="+mn-cs"/>
                          </a:rPr>
                          <m:t>∗</m:t>
                        </m:r>
                        <m:r>
                          <m:rPr>
                            <m:sty m:val="p"/>
                          </m:rPr>
                          <a:rPr lang="el-GR" sz="1100" b="0" i="1">
                            <a:solidFill>
                              <a:schemeClr val="tx1"/>
                            </a:solidFill>
                            <a:effectLst/>
                            <a:latin typeface="Cambria Math" panose="02040503050406030204" pitchFamily="18" charset="0"/>
                            <a:ea typeface="+mn-ea"/>
                            <a:cs typeface="+mn-cs"/>
                          </a:rPr>
                          <m:t>γ</m:t>
                        </m:r>
                        <m:r>
                          <a:rPr lang="en-GB" sz="1100" b="0" i="1">
                            <a:solidFill>
                              <a:schemeClr val="tx1"/>
                            </a:solidFill>
                            <a:effectLst/>
                            <a:latin typeface="Cambria Math" panose="02040503050406030204" pitchFamily="18" charset="0"/>
                            <a:ea typeface="+mn-ea"/>
                            <a:cs typeface="+mn-cs"/>
                          </a:rPr>
                          <m:t>∗</m:t>
                        </m:r>
                        <m:sSubSup>
                          <m:sSubSupPr>
                            <m:ctrlPr>
                              <a:rPr lang="en-GB" sz="1100" b="0" i="1">
                                <a:solidFill>
                                  <a:schemeClr val="tx1"/>
                                </a:solidFill>
                                <a:effectLst/>
                                <a:latin typeface="Cambria Math" panose="02040503050406030204" pitchFamily="18" charset="0"/>
                                <a:ea typeface="+mn-ea"/>
                                <a:cs typeface="+mn-cs"/>
                              </a:rPr>
                            </m:ctrlPr>
                          </m:sSubSupPr>
                          <m:e>
                            <m:r>
                              <a:rPr lang="en-GB" sz="1100" b="0" i="1">
                                <a:solidFill>
                                  <a:schemeClr val="tx1"/>
                                </a:solidFill>
                                <a:effectLst/>
                                <a:latin typeface="Cambria Math" panose="02040503050406030204" pitchFamily="18" charset="0"/>
                                <a:ea typeface="+mn-ea"/>
                                <a:cs typeface="+mn-cs"/>
                              </a:rPr>
                              <m:t>𝑓</m:t>
                            </m:r>
                          </m:e>
                          <m:sub>
                            <m:r>
                              <a:rPr lang="en-GB" sz="1100" b="0" i="1">
                                <a:solidFill>
                                  <a:schemeClr val="tx1"/>
                                </a:solidFill>
                                <a:effectLst/>
                                <a:latin typeface="Cambria Math" panose="02040503050406030204" pitchFamily="18" charset="0"/>
                                <a:ea typeface="+mn-ea"/>
                                <a:cs typeface="+mn-cs"/>
                              </a:rPr>
                              <m:t>𝑐</m:t>
                            </m:r>
                          </m:sub>
                          <m:sup>
                            <m:r>
                              <a:rPr lang="en-GB" sz="1100" b="0" i="1">
                                <a:solidFill>
                                  <a:schemeClr val="tx1"/>
                                </a:solidFill>
                                <a:effectLst/>
                                <a:latin typeface="Cambria Math" panose="02040503050406030204" pitchFamily="18" charset="0"/>
                                <a:ea typeface="+mn-ea"/>
                                <a:cs typeface="+mn-cs"/>
                              </a:rPr>
                              <m:t>′</m:t>
                            </m:r>
                          </m:sup>
                        </m:sSubSup>
                        <m:r>
                          <a:rPr lang="en-GB" sz="1100" b="0" i="1">
                            <a:solidFill>
                              <a:schemeClr val="tx1"/>
                            </a:solidFill>
                            <a:effectLst/>
                            <a:latin typeface="Cambria Math" panose="02040503050406030204" pitchFamily="18" charset="0"/>
                            <a:ea typeface="+mn-ea"/>
                            <a:cs typeface="+mn-cs"/>
                          </a:rPr>
                          <m:t>∗</m:t>
                        </m:r>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𝑏</m:t>
                            </m:r>
                          </m:e>
                          <m:sub>
                            <m:r>
                              <a:rPr lang="en-GB" sz="1100" b="0" i="1">
                                <a:solidFill>
                                  <a:schemeClr val="tx1"/>
                                </a:solidFill>
                                <a:effectLst/>
                                <a:latin typeface="Cambria Math" panose="02040503050406030204" pitchFamily="18" charset="0"/>
                                <a:ea typeface="+mn-ea"/>
                                <a:cs typeface="+mn-cs"/>
                              </a:rPr>
                              <m:t>𝑒𝑓𝑓</m:t>
                            </m:r>
                          </m:sub>
                        </m:sSub>
                      </m:num>
                      <m:den>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𝑓</m:t>
                            </m:r>
                          </m:e>
                          <m:sub>
                            <m:r>
                              <a:rPr lang="en-GB" sz="1100" b="0" i="1">
                                <a:solidFill>
                                  <a:schemeClr val="tx1"/>
                                </a:solidFill>
                                <a:effectLst/>
                                <a:latin typeface="Cambria Math" panose="02040503050406030204" pitchFamily="18" charset="0"/>
                                <a:ea typeface="+mn-ea"/>
                                <a:cs typeface="+mn-cs"/>
                              </a:rPr>
                              <m:t>𝑠𝑦</m:t>
                            </m:r>
                          </m:sub>
                        </m:sSub>
                        <m:r>
                          <a:rPr lang="en-GB" sz="1100" b="0" i="1">
                            <a:solidFill>
                              <a:schemeClr val="tx1"/>
                            </a:solidFill>
                            <a:effectLst/>
                            <a:latin typeface="Cambria Math" panose="02040503050406030204" pitchFamily="18" charset="0"/>
                            <a:ea typeface="+mn-ea"/>
                            <a:cs typeface="+mn-cs"/>
                          </a:rPr>
                          <m:t>∗</m:t>
                        </m:r>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𝐴</m:t>
                            </m:r>
                          </m:e>
                          <m:sub>
                            <m:r>
                              <a:rPr lang="en-GB" sz="1100" b="0" i="1">
                                <a:solidFill>
                                  <a:schemeClr val="tx1"/>
                                </a:solidFill>
                                <a:effectLst/>
                                <a:latin typeface="Cambria Math" panose="02040503050406030204" pitchFamily="18" charset="0"/>
                                <a:ea typeface="+mn-ea"/>
                                <a:cs typeface="+mn-cs"/>
                              </a:rPr>
                              <m:t>𝑠𝑡</m:t>
                            </m:r>
                          </m:sub>
                        </m:sSub>
                      </m:den>
                    </m:f>
                  </m:oMath>
                </m:oMathPara>
              </a14:m>
              <a:endParaRPr lang="en-AU" sz="1100"/>
            </a:p>
          </xdr:txBody>
        </xdr:sp>
      </mc:Choice>
      <mc:Fallback xmlns="">
        <xdr:sp macro="" textlink="">
          <xdr:nvSpPr>
            <xdr:cNvPr id="687" name="TextBox 686">
              <a:extLst>
                <a:ext uri="{FF2B5EF4-FFF2-40B4-BE49-F238E27FC236}">
                  <a16:creationId xmlns:a16="http://schemas.microsoft.com/office/drawing/2014/main" id="{E5F808AB-181E-44A2-9292-CDD88CD16829}"/>
                </a:ext>
              </a:extLst>
            </xdr:cNvPr>
            <xdr:cNvSpPr txBox="1"/>
          </xdr:nvSpPr>
          <xdr:spPr>
            <a:xfrm>
              <a:off x="0" y="13963650"/>
              <a:ext cx="1982209" cy="408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𝐶</a:t>
              </a:r>
              <a:r>
                <a:rPr lang="en-AU" sz="1100" b="0" i="0">
                  <a:latin typeface="Cambria Math" panose="02040503050406030204" pitchFamily="18" charset="0"/>
                </a:rPr>
                <a:t>_</a:t>
              </a:r>
              <a:r>
                <a:rPr lang="en-GB" sz="1100" b="0" i="0">
                  <a:latin typeface="Cambria Math" panose="02040503050406030204" pitchFamily="18" charset="0"/>
                </a:rPr>
                <a:t>𝑐=𝑇_𝑡→ 𝑑_𝑛= </a:t>
              </a:r>
              <a:r>
                <a:rPr lang="el-GR" sz="1100" b="0" i="0">
                  <a:solidFill>
                    <a:schemeClr val="tx1"/>
                  </a:solidFill>
                  <a:effectLst/>
                  <a:latin typeface="Cambria Math" panose="02040503050406030204" pitchFamily="18" charset="0"/>
                  <a:ea typeface="+mn-ea"/>
                  <a:cs typeface="+mn-cs"/>
                </a:rPr>
                <a:t> </a:t>
              </a:r>
              <a:r>
                <a:rPr lang="en-GB" sz="1100" b="0" i="0">
                  <a:solidFill>
                    <a:schemeClr val="tx1"/>
                  </a:solidFill>
                  <a:effectLst/>
                  <a:latin typeface="Cambria Math" panose="02040503050406030204" pitchFamily="18" charset="0"/>
                  <a:ea typeface="+mn-ea"/>
                  <a:cs typeface="+mn-cs"/>
                </a:rPr>
                <a:t>(</a:t>
              </a:r>
              <a:r>
                <a:rPr lang="el-GR" sz="1100" b="0" i="0">
                  <a:solidFill>
                    <a:schemeClr val="tx1"/>
                  </a:solidFill>
                  <a:effectLst/>
                  <a:latin typeface="Cambria Math" panose="02040503050406030204" pitchFamily="18" charset="0"/>
                  <a:ea typeface="+mn-ea"/>
                  <a:cs typeface="+mn-cs"/>
                </a:rPr>
                <a:t>α</a:t>
              </a:r>
              <a:r>
                <a:rPr lang="en-GB" sz="1100" b="0" i="0">
                  <a:solidFill>
                    <a:schemeClr val="tx1"/>
                  </a:solidFill>
                  <a:effectLst/>
                  <a:latin typeface="Cambria Math" panose="02040503050406030204" pitchFamily="18" charset="0"/>
                  <a:ea typeface="+mn-ea"/>
                  <a:cs typeface="+mn-cs"/>
                </a:rPr>
                <a:t>∗</a:t>
              </a:r>
              <a:r>
                <a:rPr lang="el-GR" sz="1100" b="0" i="0">
                  <a:solidFill>
                    <a:schemeClr val="tx1"/>
                  </a:solidFill>
                  <a:effectLst/>
                  <a:latin typeface="Cambria Math" panose="02040503050406030204" pitchFamily="18" charset="0"/>
                  <a:ea typeface="+mn-ea"/>
                  <a:cs typeface="+mn-cs"/>
                </a:rPr>
                <a:t>γ</a:t>
              </a:r>
              <a:r>
                <a:rPr lang="en-GB" sz="1100" b="0" i="0">
                  <a:solidFill>
                    <a:schemeClr val="tx1"/>
                  </a:solidFill>
                  <a:effectLst/>
                  <a:latin typeface="Cambria Math" panose="02040503050406030204" pitchFamily="18" charset="0"/>
                  <a:ea typeface="+mn-ea"/>
                  <a:cs typeface="+mn-cs"/>
                </a:rPr>
                <a:t>∗𝑓_𝑐^′∗𝑏_𝑒𝑓𝑓)/(𝑓_𝑠𝑦∗𝐴_𝑠𝑡 )</a:t>
              </a:r>
              <a:endParaRPr lang="en-AU" sz="1100"/>
            </a:p>
          </xdr:txBody>
        </xdr:sp>
      </mc:Fallback>
    </mc:AlternateContent>
    <xdr:clientData/>
  </xdr:oneCellAnchor>
  <xdr:oneCellAnchor>
    <xdr:from>
      <xdr:col>0</xdr:col>
      <xdr:colOff>0</xdr:colOff>
      <xdr:row>81</xdr:row>
      <xdr:rowOff>0</xdr:rowOff>
    </xdr:from>
    <xdr:ext cx="594650" cy="320280"/>
    <mc:AlternateContent xmlns:mc="http://schemas.openxmlformats.org/markup-compatibility/2006" xmlns:a14="http://schemas.microsoft.com/office/drawing/2010/main">
      <mc:Choice Requires="a14">
        <xdr:sp macro="" textlink="">
          <xdr:nvSpPr>
            <xdr:cNvPr id="919" name="TextBox 918">
              <a:extLst>
                <a:ext uri="{FF2B5EF4-FFF2-40B4-BE49-F238E27FC236}">
                  <a16:creationId xmlns:a16="http://schemas.microsoft.com/office/drawing/2014/main" id="{00000000-0008-0000-0400-000097030000}"/>
                </a:ext>
              </a:extLst>
            </xdr:cNvPr>
            <xdr:cNvSpPr txBox="1"/>
          </xdr:nvSpPr>
          <xdr:spPr>
            <a:xfrm>
              <a:off x="0" y="14449425"/>
              <a:ext cx="594650"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𝐾</m:t>
                        </m:r>
                      </m:e>
                      <m:sub>
                        <m:r>
                          <a:rPr lang="en-GB" sz="1100" b="0" i="1">
                            <a:latin typeface="Cambria Math" panose="02040503050406030204" pitchFamily="18" charset="0"/>
                          </a:rPr>
                          <m:t>𝑢𝑜</m:t>
                        </m:r>
                      </m:sub>
                    </m:sSub>
                    <m:r>
                      <a:rPr lang="en-GB" sz="1100" b="0" i="1">
                        <a:latin typeface="Cambria Math" panose="02040503050406030204" pitchFamily="18" charset="0"/>
                      </a:rPr>
                      <m:t>=</m:t>
                    </m:r>
                    <m:f>
                      <m:fPr>
                        <m:ctrlPr>
                          <a:rPr lang="en-GB" sz="1100" b="0" i="1">
                            <a:latin typeface="Cambria Math" panose="02040503050406030204" pitchFamily="18" charset="0"/>
                          </a:rPr>
                        </m:ctrlPr>
                      </m:fPr>
                      <m:num>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num>
                      <m:den>
                        <m:r>
                          <a:rPr lang="en-GB" sz="1100" b="0" i="1">
                            <a:latin typeface="Cambria Math" panose="02040503050406030204" pitchFamily="18" charset="0"/>
                          </a:rPr>
                          <m:t>𝑑</m:t>
                        </m:r>
                      </m:den>
                    </m:f>
                  </m:oMath>
                </m:oMathPara>
              </a14:m>
              <a:endParaRPr lang="en-AU" sz="1100"/>
            </a:p>
          </xdr:txBody>
        </xdr:sp>
      </mc:Choice>
      <mc:Fallback xmlns="">
        <xdr:sp macro="" textlink="">
          <xdr:nvSpPr>
            <xdr:cNvPr id="919" name="TextBox 918">
              <a:extLst>
                <a:ext uri="{FF2B5EF4-FFF2-40B4-BE49-F238E27FC236}">
                  <a16:creationId xmlns:a16="http://schemas.microsoft.com/office/drawing/2014/main" id="{27DF4D7E-19F2-451B-8843-FE54BB6686AD}"/>
                </a:ext>
              </a:extLst>
            </xdr:cNvPr>
            <xdr:cNvSpPr txBox="1"/>
          </xdr:nvSpPr>
          <xdr:spPr>
            <a:xfrm>
              <a:off x="0" y="14449425"/>
              <a:ext cx="594650"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𝐾</a:t>
              </a:r>
              <a:r>
                <a:rPr lang="en-AU" sz="1100" b="0" i="0">
                  <a:latin typeface="Cambria Math" panose="02040503050406030204" pitchFamily="18" charset="0"/>
                </a:rPr>
                <a:t>_</a:t>
              </a:r>
              <a:r>
                <a:rPr lang="en-GB" sz="1100" b="0" i="0">
                  <a:latin typeface="Cambria Math" panose="02040503050406030204" pitchFamily="18" charset="0"/>
                </a:rPr>
                <a:t>𝑢𝑜=𝑑_𝑛/𝑑</a:t>
              </a:r>
              <a:endParaRPr lang="en-AU" sz="1100"/>
            </a:p>
          </xdr:txBody>
        </xdr:sp>
      </mc:Fallback>
    </mc:AlternateContent>
    <xdr:clientData/>
  </xdr:oneCellAnchor>
  <xdr:oneCellAnchor>
    <xdr:from>
      <xdr:col>0</xdr:col>
      <xdr:colOff>0</xdr:colOff>
      <xdr:row>84</xdr:row>
      <xdr:rowOff>0</xdr:rowOff>
    </xdr:from>
    <xdr:ext cx="1745671" cy="415050"/>
    <mc:AlternateContent xmlns:mc="http://schemas.openxmlformats.org/markup-compatibility/2006" xmlns:a14="http://schemas.microsoft.com/office/drawing/2010/main">
      <mc:Choice Requires="a14">
        <xdr:sp macro="" textlink="">
          <xdr:nvSpPr>
            <xdr:cNvPr id="920" name="TextBox 919">
              <a:extLst>
                <a:ext uri="{FF2B5EF4-FFF2-40B4-BE49-F238E27FC236}">
                  <a16:creationId xmlns:a16="http://schemas.microsoft.com/office/drawing/2014/main" id="{00000000-0008-0000-0400-000098030000}"/>
                </a:ext>
              </a:extLst>
            </xdr:cNvPr>
            <xdr:cNvSpPr txBox="1"/>
          </xdr:nvSpPr>
          <xdr:spPr>
            <a:xfrm>
              <a:off x="0" y="15116175"/>
              <a:ext cx="1745671" cy="415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AU" sz="1100" i="1">
                      <a:latin typeface="Cambria Math" panose="02040503050406030204" pitchFamily="18" charset="0"/>
                      <a:ea typeface="Cambria Math" panose="02040503050406030204" pitchFamily="18" charset="0"/>
                    </a:rPr>
                    <m:t>∅</m:t>
                  </m:r>
                  <m:r>
                    <a:rPr lang="en-GB" sz="1100" b="0" i="1">
                      <a:latin typeface="Cambria Math" panose="02040503050406030204" pitchFamily="18" charset="0"/>
                      <a:ea typeface="Cambria Math" panose="02040503050406030204" pitchFamily="18" charset="0"/>
                    </a:rPr>
                    <m:t>∗</m:t>
                  </m:r>
                  <m:sSub>
                    <m:sSubPr>
                      <m:ctrlPr>
                        <a:rPr lang="en-GB" sz="1100" b="0" i="1">
                          <a:latin typeface="Cambria Math" panose="02040503050406030204" pitchFamily="18" charset="0"/>
                          <a:ea typeface="Cambria Math" panose="02040503050406030204" pitchFamily="18" charset="0"/>
                        </a:rPr>
                      </m:ctrlPr>
                    </m:sSubPr>
                    <m:e>
                      <m:r>
                        <a:rPr lang="en-GB" sz="1100" b="0" i="1">
                          <a:latin typeface="Cambria Math" panose="02040503050406030204" pitchFamily="18" charset="0"/>
                          <a:ea typeface="Cambria Math" panose="02040503050406030204" pitchFamily="18" charset="0"/>
                        </a:rPr>
                        <m:t>𝑀</m:t>
                      </m:r>
                    </m:e>
                    <m:sub>
                      <m:r>
                        <a:rPr lang="en-GB" sz="1100" b="0" i="1">
                          <a:latin typeface="Cambria Math" panose="02040503050406030204" pitchFamily="18" charset="0"/>
                          <a:ea typeface="Cambria Math" panose="02040503050406030204" pitchFamily="18" charset="0"/>
                        </a:rPr>
                        <m:t>𝑢𝑜</m:t>
                      </m:r>
                    </m:sub>
                  </m:sSub>
                  <m:r>
                    <a:rPr lang="en-GB" sz="1100" b="0" i="1">
                      <a:latin typeface="Cambria Math" panose="02040503050406030204" pitchFamily="18" charset="0"/>
                      <a:ea typeface="Cambria Math" panose="02040503050406030204" pitchFamily="18" charset="0"/>
                    </a:rPr>
                    <m:t>= ∅∗</m:t>
                  </m:r>
                  <m:r>
                    <a:rPr lang="en-GB" sz="1100" b="0" i="1">
                      <a:latin typeface="Cambria Math" panose="02040503050406030204" pitchFamily="18" charset="0"/>
                      <a:ea typeface="Cambria Math" panose="02040503050406030204" pitchFamily="18" charset="0"/>
                    </a:rPr>
                    <m:t>𝑇</m:t>
                  </m:r>
                  <m:r>
                    <a:rPr lang="en-GB" sz="1100" b="0" i="1">
                      <a:latin typeface="Cambria Math" panose="02040503050406030204" pitchFamily="18" charset="0"/>
                      <a:ea typeface="Cambria Math" panose="02040503050406030204" pitchFamily="18" charset="0"/>
                    </a:rPr>
                    <m:t> ∗(</m:t>
                  </m:r>
                  <m:r>
                    <a:rPr lang="en-GB" sz="1100" b="0" i="1">
                      <a:latin typeface="Cambria Math" panose="02040503050406030204" pitchFamily="18" charset="0"/>
                      <a:ea typeface="Cambria Math" panose="02040503050406030204" pitchFamily="18" charset="0"/>
                    </a:rPr>
                    <m:t>𝑑</m:t>
                  </m:r>
                  <m:r>
                    <a:rPr lang="en-GB" sz="1100" b="0" i="1">
                      <a:latin typeface="Cambria Math" panose="02040503050406030204" pitchFamily="18" charset="0"/>
                      <a:ea typeface="Cambria Math" panose="02040503050406030204" pitchFamily="18" charset="0"/>
                    </a:rPr>
                    <m:t>−</m:t>
                  </m:r>
                  <m:f>
                    <m:fPr>
                      <m:ctrlPr>
                        <a:rPr lang="en-GB" sz="1100" b="0" i="1">
                          <a:latin typeface="Cambria Math" panose="02040503050406030204" pitchFamily="18" charset="0"/>
                          <a:ea typeface="Cambria Math" panose="02040503050406030204" pitchFamily="18" charset="0"/>
                        </a:rPr>
                      </m:ctrlPr>
                    </m:fPr>
                    <m:num>
                      <m:r>
                        <m:rPr>
                          <m:sty m:val="p"/>
                        </m:rPr>
                        <a:rPr lang="el-GR" sz="1100" b="0" i="1">
                          <a:latin typeface="Cambria Math" panose="02040503050406030204" pitchFamily="18" charset="0"/>
                          <a:ea typeface="Cambria Math" panose="02040503050406030204" pitchFamily="18" charset="0"/>
                        </a:rPr>
                        <m:t>γ</m:t>
                      </m:r>
                      <m:r>
                        <a:rPr lang="en-GB" sz="1100" b="0" i="1">
                          <a:latin typeface="Cambria Math" panose="02040503050406030204" pitchFamily="18" charset="0"/>
                          <a:ea typeface="Cambria Math" panose="02040503050406030204" pitchFamily="18" charset="0"/>
                        </a:rPr>
                        <m:t>∗</m:t>
                      </m:r>
                      <m:sSub>
                        <m:sSubPr>
                          <m:ctrlPr>
                            <a:rPr lang="en-GB" sz="1100" b="0" i="1">
                              <a:latin typeface="Cambria Math" panose="02040503050406030204" pitchFamily="18" charset="0"/>
                              <a:ea typeface="Cambria Math" panose="02040503050406030204" pitchFamily="18" charset="0"/>
                            </a:rPr>
                          </m:ctrlPr>
                        </m:sSubPr>
                        <m:e>
                          <m:r>
                            <a:rPr lang="en-GB" sz="1100" b="0" i="1">
                              <a:latin typeface="Cambria Math" panose="02040503050406030204" pitchFamily="18" charset="0"/>
                              <a:ea typeface="Cambria Math" panose="02040503050406030204" pitchFamily="18" charset="0"/>
                            </a:rPr>
                            <m:t>𝑑</m:t>
                          </m:r>
                        </m:e>
                        <m:sub>
                          <m:r>
                            <a:rPr lang="en-GB" sz="1100" b="0" i="1">
                              <a:latin typeface="Cambria Math" panose="02040503050406030204" pitchFamily="18" charset="0"/>
                              <a:ea typeface="Cambria Math" panose="02040503050406030204" pitchFamily="18" charset="0"/>
                            </a:rPr>
                            <m:t>𝑛</m:t>
                          </m:r>
                        </m:sub>
                      </m:sSub>
                    </m:num>
                    <m:den>
                      <m:r>
                        <a:rPr lang="en-GB" sz="1100" b="0" i="1">
                          <a:latin typeface="Cambria Math" panose="02040503050406030204" pitchFamily="18" charset="0"/>
                          <a:ea typeface="Cambria Math" panose="02040503050406030204" pitchFamily="18" charset="0"/>
                        </a:rPr>
                        <m:t>2</m:t>
                      </m:r>
                    </m:den>
                  </m:f>
                </m:oMath>
              </a14:m>
              <a:r>
                <a:rPr lang="en-AU" sz="1100"/>
                <a:t>)</a:t>
              </a:r>
            </a:p>
            <a:p>
              <a:endParaRPr lang="en-AU" sz="1100"/>
            </a:p>
          </xdr:txBody>
        </xdr:sp>
      </mc:Choice>
      <mc:Fallback xmlns="">
        <xdr:sp macro="" textlink="">
          <xdr:nvSpPr>
            <xdr:cNvPr id="920" name="TextBox 919">
              <a:extLst>
                <a:ext uri="{FF2B5EF4-FFF2-40B4-BE49-F238E27FC236}">
                  <a16:creationId xmlns:a16="http://schemas.microsoft.com/office/drawing/2014/main" id="{A516CCB3-562C-4586-B58B-7E7B0FB99913}"/>
                </a:ext>
              </a:extLst>
            </xdr:cNvPr>
            <xdr:cNvSpPr txBox="1"/>
          </xdr:nvSpPr>
          <xdr:spPr>
            <a:xfrm>
              <a:off x="0" y="15116175"/>
              <a:ext cx="1745671" cy="415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AU" sz="1100" i="0">
                  <a:latin typeface="Cambria Math" panose="02040503050406030204" pitchFamily="18" charset="0"/>
                  <a:ea typeface="Cambria Math" panose="02040503050406030204" pitchFamily="18" charset="0"/>
                </a:rPr>
                <a:t>∅</a:t>
              </a:r>
              <a:r>
                <a:rPr lang="en-GB" sz="1100" b="0" i="0">
                  <a:latin typeface="Cambria Math" panose="02040503050406030204" pitchFamily="18" charset="0"/>
                  <a:ea typeface="Cambria Math" panose="02040503050406030204" pitchFamily="18" charset="0"/>
                </a:rPr>
                <a:t>∗𝑀_𝑢𝑜= ∅∗𝑇 ∗(𝑑−(</a:t>
              </a:r>
              <a:r>
                <a:rPr lang="el-GR" sz="1100" b="0" i="0">
                  <a:latin typeface="Cambria Math" panose="02040503050406030204" pitchFamily="18" charset="0"/>
                  <a:ea typeface="Cambria Math" panose="02040503050406030204" pitchFamily="18" charset="0"/>
                </a:rPr>
                <a:t>γ</a:t>
              </a:r>
              <a:r>
                <a:rPr lang="en-GB" sz="1100" b="0" i="0">
                  <a:latin typeface="Cambria Math" panose="02040503050406030204" pitchFamily="18" charset="0"/>
                  <a:ea typeface="Cambria Math" panose="02040503050406030204" pitchFamily="18" charset="0"/>
                </a:rPr>
                <a:t>∗𝑑_𝑛)/2</a:t>
              </a:r>
              <a:r>
                <a:rPr lang="en-AU" sz="1100"/>
                <a:t>)</a:t>
              </a:r>
            </a:p>
            <a:p>
              <a:pPr/>
              <a:endParaRPr lang="en-AU" sz="1100"/>
            </a:p>
          </xdr:txBody>
        </xdr:sp>
      </mc:Fallback>
    </mc:AlternateContent>
    <xdr:clientData/>
  </xdr:oneCellAnchor>
  <xdr:twoCellAnchor editAs="absolute">
    <xdr:from>
      <xdr:col>0</xdr:col>
      <xdr:colOff>0</xdr:colOff>
      <xdr:row>0</xdr:row>
      <xdr:rowOff>0</xdr:rowOff>
    </xdr:from>
    <xdr:to>
      <xdr:col>6</xdr:col>
      <xdr:colOff>440884</xdr:colOff>
      <xdr:row>5</xdr:row>
      <xdr:rowOff>26392</xdr:rowOff>
    </xdr:to>
    <xdr:grpSp>
      <xdr:nvGrpSpPr>
        <xdr:cNvPr id="3" name="GroupedHeader">
          <a:extLst>
            <a:ext uri="{FF2B5EF4-FFF2-40B4-BE49-F238E27FC236}">
              <a16:creationId xmlns:a16="http://schemas.microsoft.com/office/drawing/2014/main" id="{AA934FF8-8DEA-47BE-B42B-F0E8B0081F78}"/>
            </a:ext>
          </a:extLst>
        </xdr:cNvPr>
        <xdr:cNvGrpSpPr/>
      </xdr:nvGrpSpPr>
      <xdr:grpSpPr>
        <a:xfrm>
          <a:off x="0" y="0"/>
          <a:ext cx="5973004" cy="1253212"/>
          <a:chOff x="15516225" y="79277"/>
          <a:chExt cx="6609367" cy="1328247"/>
        </a:xfrm>
      </xdr:grpSpPr>
      <xdr:sp macro="" textlink="job_no">
        <xdr:nvSpPr>
          <xdr:cNvPr id="4" name="Text Box 39">
            <a:extLst>
              <a:ext uri="{FF2B5EF4-FFF2-40B4-BE49-F238E27FC236}">
                <a16:creationId xmlns:a16="http://schemas.microsoft.com/office/drawing/2014/main" id="{3257A646-C280-D420-7ECD-E79E3279CA35}"/>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5" name="Text Box 39">
            <a:extLst>
              <a:ext uri="{FF2B5EF4-FFF2-40B4-BE49-F238E27FC236}">
                <a16:creationId xmlns:a16="http://schemas.microsoft.com/office/drawing/2014/main" id="{64256CBE-AAFD-A0B2-D7CF-3C3D2B5B09C0}"/>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6" name="Text Box 39">
            <a:extLst>
              <a:ext uri="{FF2B5EF4-FFF2-40B4-BE49-F238E27FC236}">
                <a16:creationId xmlns:a16="http://schemas.microsoft.com/office/drawing/2014/main" id="{342ED529-FB38-4AD5-71B3-DA8B9CB5E19F}"/>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7" name="Text Box 39">
            <a:extLst>
              <a:ext uri="{FF2B5EF4-FFF2-40B4-BE49-F238E27FC236}">
                <a16:creationId xmlns:a16="http://schemas.microsoft.com/office/drawing/2014/main" id="{BC8B311F-ADD8-E800-0262-F695A7F1CE38}"/>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8" name="Text Box 39">
            <a:extLst>
              <a:ext uri="{FF2B5EF4-FFF2-40B4-BE49-F238E27FC236}">
                <a16:creationId xmlns:a16="http://schemas.microsoft.com/office/drawing/2014/main" id="{CCD06D85-6B7A-5A3D-139D-107F00F6B40E}"/>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9" name="DisclaimerBox">
            <a:extLst>
              <a:ext uri="{FF2B5EF4-FFF2-40B4-BE49-F238E27FC236}">
                <a16:creationId xmlns:a16="http://schemas.microsoft.com/office/drawing/2014/main" id="{F7197AF8-2D0C-B6BF-C75F-EB4E5DD03C86}"/>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10" name="Rectangle 9">
            <a:extLst>
              <a:ext uri="{FF2B5EF4-FFF2-40B4-BE49-F238E27FC236}">
                <a16:creationId xmlns:a16="http://schemas.microsoft.com/office/drawing/2014/main" id="{250B0A24-0D91-14A4-86AB-6B242E71F080}"/>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11" name="Rectangle 10">
            <a:extLst>
              <a:ext uri="{FF2B5EF4-FFF2-40B4-BE49-F238E27FC236}">
                <a16:creationId xmlns:a16="http://schemas.microsoft.com/office/drawing/2014/main" id="{34025F3C-4286-9BDF-CCC6-7CFCD28FF36D}"/>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12" name="Rectangle 11">
            <a:extLst>
              <a:ext uri="{FF2B5EF4-FFF2-40B4-BE49-F238E27FC236}">
                <a16:creationId xmlns:a16="http://schemas.microsoft.com/office/drawing/2014/main" id="{2E60E0EB-496F-6D77-C947-11D63B18DBDD}"/>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13" name="Rectangle 12">
            <a:extLst>
              <a:ext uri="{FF2B5EF4-FFF2-40B4-BE49-F238E27FC236}">
                <a16:creationId xmlns:a16="http://schemas.microsoft.com/office/drawing/2014/main" id="{F22534E5-FB2B-08FD-48F8-1496D3A39951}"/>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14" name="Rectangle 13">
            <a:extLst>
              <a:ext uri="{FF2B5EF4-FFF2-40B4-BE49-F238E27FC236}">
                <a16:creationId xmlns:a16="http://schemas.microsoft.com/office/drawing/2014/main" id="{DB49A6A0-0A4F-93D1-0595-0B0441F9CFC8}"/>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15" name="Rectangle 14">
            <a:extLst>
              <a:ext uri="{FF2B5EF4-FFF2-40B4-BE49-F238E27FC236}">
                <a16:creationId xmlns:a16="http://schemas.microsoft.com/office/drawing/2014/main" id="{B7F0BCB5-6F4A-E7A3-6A85-7B66F4DE7223}"/>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16" name="TextBox 15">
            <a:extLst>
              <a:ext uri="{FF2B5EF4-FFF2-40B4-BE49-F238E27FC236}">
                <a16:creationId xmlns:a16="http://schemas.microsoft.com/office/drawing/2014/main" id="{C483ABD2-27B9-CF84-9A9E-6748C5A2DBF3}"/>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17" name="Text Box 46">
            <a:extLst>
              <a:ext uri="{FF2B5EF4-FFF2-40B4-BE49-F238E27FC236}">
                <a16:creationId xmlns:a16="http://schemas.microsoft.com/office/drawing/2014/main" id="{B4B54F96-161C-7C88-8835-F97BF5B31A9C}"/>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18" name="Text Box 46">
            <a:extLst>
              <a:ext uri="{FF2B5EF4-FFF2-40B4-BE49-F238E27FC236}">
                <a16:creationId xmlns:a16="http://schemas.microsoft.com/office/drawing/2014/main" id="{FE4B8551-D15F-3D88-5A51-5B88543107E2}"/>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19" name="Text Box 39">
            <a:extLst>
              <a:ext uri="{FF2B5EF4-FFF2-40B4-BE49-F238E27FC236}">
                <a16:creationId xmlns:a16="http://schemas.microsoft.com/office/drawing/2014/main" id="{98E9D1E2-C434-4196-FCCC-10EB982BD120}"/>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20" name="Rectangle 19">
            <a:extLst>
              <a:ext uri="{FF2B5EF4-FFF2-40B4-BE49-F238E27FC236}">
                <a16:creationId xmlns:a16="http://schemas.microsoft.com/office/drawing/2014/main" id="{DC912930-2F4E-5FCA-FA8B-CB8EE819EBDF}"/>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21" name="Text Box 39">
            <a:extLst>
              <a:ext uri="{FF2B5EF4-FFF2-40B4-BE49-F238E27FC236}">
                <a16:creationId xmlns:a16="http://schemas.microsoft.com/office/drawing/2014/main" id="{895FE2B7-10F5-DA61-2ECD-D780D105E1F1}"/>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22" name="Text Box 46">
            <a:extLst>
              <a:ext uri="{FF2B5EF4-FFF2-40B4-BE49-F238E27FC236}">
                <a16:creationId xmlns:a16="http://schemas.microsoft.com/office/drawing/2014/main" id="{A6B8385F-2182-0746-8E67-17AE11D22C72}"/>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23" name="Text Box 46">
            <a:extLst>
              <a:ext uri="{FF2B5EF4-FFF2-40B4-BE49-F238E27FC236}">
                <a16:creationId xmlns:a16="http://schemas.microsoft.com/office/drawing/2014/main" id="{4F4B8164-F201-9958-F889-4D39EDA4BB6A}"/>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11199</xdr:colOff>
      <xdr:row>6</xdr:row>
      <xdr:rowOff>0</xdr:rowOff>
    </xdr:from>
    <xdr:to>
      <xdr:col>6</xdr:col>
      <xdr:colOff>295577</xdr:colOff>
      <xdr:row>13</xdr:row>
      <xdr:rowOff>97155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4611774" y="1524000"/>
          <a:ext cx="1221638" cy="1097280"/>
        </a:xfrm>
        <a:prstGeom prst="rect">
          <a:avLst/>
        </a:prstGeom>
      </xdr:spPr>
    </xdr:pic>
    <xdr:clientData/>
  </xdr:twoCellAnchor>
  <xdr:oneCellAnchor>
    <xdr:from>
      <xdr:col>0</xdr:col>
      <xdr:colOff>0</xdr:colOff>
      <xdr:row>44</xdr:row>
      <xdr:rowOff>0</xdr:rowOff>
    </xdr:from>
    <xdr:ext cx="65" cy="172227"/>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72294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AU" sz="1100"/>
        </a:p>
      </xdr:txBody>
    </xdr:sp>
    <xdr:clientData/>
  </xdr:oneCellAnchor>
  <xdr:oneCellAnchor>
    <xdr:from>
      <xdr:col>0</xdr:col>
      <xdr:colOff>19050</xdr:colOff>
      <xdr:row>60</xdr:row>
      <xdr:rowOff>5715</xdr:rowOff>
    </xdr:from>
    <xdr:ext cx="999697" cy="34657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5240" y="9980295"/>
              <a:ext cx="999697" cy="346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𝑘</m:t>
                    </m:r>
                    <m:r>
                      <a:rPr lang="en-GB" sz="1100" b="0" i="1">
                        <a:latin typeface="Cambria Math" panose="02040503050406030204" pitchFamily="18" charset="0"/>
                      </a:rPr>
                      <m:t>= </m:t>
                    </m:r>
                    <m:f>
                      <m:fPr>
                        <m:ctrlPr>
                          <a:rPr lang="en-GB" sz="1100" b="0" i="1">
                            <a:latin typeface="Cambria Math" panose="02040503050406030204" pitchFamily="18" charset="0"/>
                          </a:rPr>
                        </m:ctrlPr>
                      </m:fPr>
                      <m:num>
                        <m:r>
                          <a:rPr lang="en-GB" sz="1100" b="0" i="1">
                            <a:latin typeface="Cambria Math" panose="02040503050406030204" pitchFamily="18" charset="0"/>
                          </a:rPr>
                          <m:t>𝑀</m:t>
                        </m:r>
                      </m:num>
                      <m:den>
                        <m:r>
                          <a:rPr lang="en-GB" sz="1100" b="0" i="1">
                            <a:latin typeface="Cambria Math" panose="02040503050406030204" pitchFamily="18" charset="0"/>
                          </a:rPr>
                          <m:t>𝑏</m:t>
                        </m:r>
                        <m:r>
                          <a:rPr lang="en-GB" sz="1100" b="0" i="1">
                            <a:latin typeface="Cambria Math" panose="02040503050406030204" pitchFamily="18" charset="0"/>
                          </a:rPr>
                          <m:t>∗</m:t>
                        </m:r>
                        <m:sSup>
                          <m:sSupPr>
                            <m:ctrlPr>
                              <a:rPr lang="en-GB" sz="1100" b="0" i="1">
                                <a:latin typeface="Cambria Math" panose="02040503050406030204" pitchFamily="18" charset="0"/>
                              </a:rPr>
                            </m:ctrlPr>
                          </m:sSupPr>
                          <m:e>
                            <m:r>
                              <a:rPr lang="en-GB" sz="1100" b="0" i="1">
                                <a:latin typeface="Cambria Math" panose="02040503050406030204" pitchFamily="18" charset="0"/>
                              </a:rPr>
                              <m:t>𝑑</m:t>
                            </m:r>
                          </m:e>
                          <m:sup>
                            <m:r>
                              <a:rPr lang="en-GB" sz="1100" b="0" i="1">
                                <a:latin typeface="Cambria Math" panose="02040503050406030204" pitchFamily="18" charset="0"/>
                              </a:rPr>
                              <m:t>2</m:t>
                            </m:r>
                          </m:sup>
                        </m:sSup>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𝑐𝑘</m:t>
                            </m:r>
                          </m:sub>
                        </m:sSub>
                      </m:den>
                    </m:f>
                  </m:oMath>
                </m:oMathPara>
              </a14:m>
              <a:endParaRPr lang="en-AU" sz="1100"/>
            </a:p>
          </xdr:txBody>
        </xdr:sp>
      </mc:Choice>
      <mc:Fallback xmlns="">
        <xdr:sp macro="" textlink="">
          <xdr:nvSpPr>
            <xdr:cNvPr id="5" name="TextBox 4">
              <a:extLst>
                <a:ext uri="{FF2B5EF4-FFF2-40B4-BE49-F238E27FC236}">
                  <a16:creationId xmlns:a16="http://schemas.microsoft.com/office/drawing/2014/main" id="{BF2C4DAB-459E-4D9F-9001-2B2038EC11E0}"/>
                </a:ext>
              </a:extLst>
            </xdr:cNvPr>
            <xdr:cNvSpPr txBox="1"/>
          </xdr:nvSpPr>
          <xdr:spPr>
            <a:xfrm>
              <a:off x="15240" y="9980295"/>
              <a:ext cx="999697" cy="346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𝑘=  𝑀/(𝑏∗𝑑^2∗𝑓_𝑐𝑘 )</a:t>
              </a:r>
              <a:endParaRPr lang="en-AU" sz="1100"/>
            </a:p>
          </xdr:txBody>
        </xdr:sp>
      </mc:Fallback>
    </mc:AlternateContent>
    <xdr:clientData/>
  </xdr:oneCellAnchor>
  <xdr:oneCellAnchor>
    <xdr:from>
      <xdr:col>0</xdr:col>
      <xdr:colOff>0</xdr:colOff>
      <xdr:row>66</xdr:row>
      <xdr:rowOff>0</xdr:rowOff>
    </xdr:from>
    <xdr:ext cx="987258" cy="364395"/>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0" y="11239500"/>
              <a:ext cx="987258" cy="364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𝐴</m:t>
                        </m:r>
                      </m:e>
                      <m:sub>
                        <m:r>
                          <a:rPr lang="en-GB" sz="1100" b="0" i="1">
                            <a:latin typeface="Cambria Math" panose="02040503050406030204" pitchFamily="18" charset="0"/>
                          </a:rPr>
                          <m:t>𝑠</m:t>
                        </m:r>
                      </m:sub>
                    </m:sSub>
                    <m:r>
                      <a:rPr lang="en-GB" sz="1100" b="0" i="1">
                        <a:latin typeface="Cambria Math" panose="02040503050406030204" pitchFamily="18" charset="0"/>
                      </a:rPr>
                      <m:t>=</m:t>
                    </m:r>
                    <m:f>
                      <m:fPr>
                        <m:ctrlPr>
                          <a:rPr lang="en-AU" sz="1100" i="1">
                            <a:latin typeface="Cambria Math" panose="02040503050406030204" pitchFamily="18" charset="0"/>
                          </a:rPr>
                        </m:ctrlPr>
                      </m:fPr>
                      <m:num>
                        <m:r>
                          <a:rPr lang="en-GB" sz="1100" b="0" i="1">
                            <a:latin typeface="Cambria Math" panose="02040503050406030204" pitchFamily="18" charset="0"/>
                          </a:rPr>
                          <m:t>𝑀</m:t>
                        </m:r>
                      </m:num>
                      <m:den>
                        <m:r>
                          <m:rPr>
                            <m:sty m:val="p"/>
                          </m:rPr>
                          <a:rPr lang="el-GR" sz="1100" i="1">
                            <a:latin typeface="Cambria Math" panose="02040503050406030204" pitchFamily="18" charset="0"/>
                          </a:rPr>
                          <m:t>γ</m:t>
                        </m:r>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𝑠𝑦</m:t>
                            </m:r>
                          </m:sub>
                        </m:sSub>
                        <m:r>
                          <a:rPr lang="en-GB" sz="1100" b="0" i="1">
                            <a:latin typeface="Cambria Math" panose="02040503050406030204" pitchFamily="18" charset="0"/>
                          </a:rPr>
                          <m:t>∗</m:t>
                        </m:r>
                        <m:r>
                          <a:rPr lang="en-GB" sz="1100" b="0" i="1">
                            <a:latin typeface="Cambria Math" panose="02040503050406030204" pitchFamily="18" charset="0"/>
                          </a:rPr>
                          <m:t>𝑍</m:t>
                        </m:r>
                      </m:den>
                    </m:f>
                  </m:oMath>
                </m:oMathPara>
              </a14:m>
              <a:endParaRPr lang="en-AU" sz="1100"/>
            </a:p>
          </xdr:txBody>
        </xdr:sp>
      </mc:Choice>
      <mc:Fallback xmlns="">
        <xdr:sp macro="" textlink="">
          <xdr:nvSpPr>
            <xdr:cNvPr id="6" name="TextBox 5">
              <a:extLst>
                <a:ext uri="{FF2B5EF4-FFF2-40B4-BE49-F238E27FC236}">
                  <a16:creationId xmlns:a16="http://schemas.microsoft.com/office/drawing/2014/main" id="{A81CC8BB-A746-462C-A23E-2A37B7807496}"/>
                </a:ext>
              </a:extLst>
            </xdr:cNvPr>
            <xdr:cNvSpPr txBox="1"/>
          </xdr:nvSpPr>
          <xdr:spPr>
            <a:xfrm>
              <a:off x="0" y="11239500"/>
              <a:ext cx="987258" cy="364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𝐴</a:t>
              </a:r>
              <a:r>
                <a:rPr lang="en-AU" sz="1100" b="0" i="0">
                  <a:latin typeface="Cambria Math" panose="02040503050406030204" pitchFamily="18" charset="0"/>
                </a:rPr>
                <a:t>_</a:t>
              </a:r>
              <a:r>
                <a:rPr lang="en-GB" sz="1100" b="0" i="0">
                  <a:latin typeface="Cambria Math" panose="02040503050406030204" pitchFamily="18" charset="0"/>
                </a:rPr>
                <a:t>𝑠=𝑀</a:t>
              </a:r>
              <a:r>
                <a:rPr lang="en-AU" sz="1100" b="0" i="0">
                  <a:latin typeface="Cambria Math" panose="02040503050406030204" pitchFamily="18" charset="0"/>
                </a:rPr>
                <a:t>/(</a:t>
              </a:r>
              <a:r>
                <a:rPr lang="el-GR" sz="1100" i="0">
                  <a:latin typeface="Cambria Math" panose="02040503050406030204" pitchFamily="18" charset="0"/>
                </a:rPr>
                <a:t>γ</a:t>
              </a:r>
              <a:r>
                <a:rPr lang="en-GB" sz="1100" b="0" i="0">
                  <a:latin typeface="Cambria Math" panose="02040503050406030204" pitchFamily="18" charset="0"/>
                </a:rPr>
                <a:t>∗ 𝑓_𝑠𝑦∗𝑍</a:t>
              </a:r>
              <a:r>
                <a:rPr lang="en-AU" sz="1100" b="0" i="0">
                  <a:latin typeface="Cambria Math" panose="02040503050406030204" pitchFamily="18" charset="0"/>
                </a:rPr>
                <a:t>)</a:t>
              </a:r>
              <a:endParaRPr lang="en-AU" sz="1100"/>
            </a:p>
          </xdr:txBody>
        </xdr:sp>
      </mc:Fallback>
    </mc:AlternateContent>
    <xdr:clientData/>
  </xdr:oneCellAnchor>
  <xdr:oneCellAnchor>
    <xdr:from>
      <xdr:col>0</xdr:col>
      <xdr:colOff>0</xdr:colOff>
      <xdr:row>68</xdr:row>
      <xdr:rowOff>0</xdr:rowOff>
    </xdr:from>
    <xdr:ext cx="1031757" cy="351058"/>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0" y="11744325"/>
              <a:ext cx="1031757" cy="35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AU" sz="1100" i="1">
                            <a:latin typeface="Cambria Math" panose="02040503050406030204" pitchFamily="18" charset="0"/>
                          </a:rPr>
                        </m:ctrlPr>
                      </m:fPr>
                      <m:num>
                        <m:r>
                          <m:rPr>
                            <m:sty m:val="p"/>
                          </m:rPr>
                          <a:rPr lang="el-GR" sz="1100" i="1">
                            <a:latin typeface="Cambria Math" panose="02040503050406030204" pitchFamily="18" charset="0"/>
                          </a:rPr>
                          <m:t>π</m:t>
                        </m:r>
                      </m:num>
                      <m:den>
                        <m:r>
                          <a:rPr lang="en-GB" sz="1100" b="0" i="1">
                            <a:latin typeface="Cambria Math" panose="02040503050406030204" pitchFamily="18" charset="0"/>
                          </a:rPr>
                          <m:t>4</m:t>
                        </m:r>
                      </m:den>
                    </m:f>
                    <m:r>
                      <a:rPr lang="en-GB" sz="1100" b="0" i="1">
                        <a:latin typeface="Cambria Math" panose="02040503050406030204" pitchFamily="18" charset="0"/>
                      </a:rPr>
                      <m:t>∗</m:t>
                    </m:r>
                    <m:sSup>
                      <m:sSupPr>
                        <m:ctrlPr>
                          <a:rPr lang="en-GB" sz="1100" b="0" i="1">
                            <a:latin typeface="Cambria Math" panose="02040503050406030204" pitchFamily="18" charset="0"/>
                          </a:rPr>
                        </m:ctrlPr>
                      </m:sSupPr>
                      <m:e>
                        <m:r>
                          <a:rPr lang="en-GB" sz="1100" b="0" i="1">
                            <a:latin typeface="Cambria Math" panose="02040503050406030204" pitchFamily="18" charset="0"/>
                          </a:rPr>
                          <m:t>𝑑</m:t>
                        </m:r>
                      </m:e>
                      <m:sup>
                        <m:r>
                          <a:rPr lang="en-GB" sz="1100" b="0" i="1">
                            <a:latin typeface="Cambria Math" panose="02040503050406030204" pitchFamily="18" charset="0"/>
                          </a:rPr>
                          <m:t>2</m:t>
                        </m:r>
                      </m:sup>
                    </m:sSup>
                    <m:r>
                      <a:rPr lang="en-GB" sz="1100" b="0" i="1">
                        <a:latin typeface="Cambria Math" panose="02040503050406030204" pitchFamily="18" charset="0"/>
                      </a:rPr>
                      <m:t>∗</m:t>
                    </m:r>
                    <m:f>
                      <m:fPr>
                        <m:ctrlPr>
                          <a:rPr lang="en-GB" sz="1100" b="0" i="1">
                            <a:latin typeface="Cambria Math" panose="02040503050406030204" pitchFamily="18" charset="0"/>
                          </a:rPr>
                        </m:ctrlPr>
                      </m:fPr>
                      <m:num>
                        <m:r>
                          <a:rPr lang="en-GB" sz="1100" b="0" i="1">
                            <a:latin typeface="Cambria Math" panose="02040503050406030204" pitchFamily="18" charset="0"/>
                          </a:rPr>
                          <m:t>𝑙𝑒𝑛𝑔𝑡h</m:t>
                        </m:r>
                      </m:num>
                      <m:den>
                        <m:r>
                          <a:rPr lang="en-GB" sz="1100" b="0" i="1">
                            <a:latin typeface="Cambria Math" panose="02040503050406030204" pitchFamily="18" charset="0"/>
                          </a:rPr>
                          <m:t>𝑠𝑝𝑎𝑐𝑖𝑛𝑔</m:t>
                        </m:r>
                      </m:den>
                    </m:f>
                  </m:oMath>
                </m:oMathPara>
              </a14:m>
              <a:endParaRPr lang="en-AU" sz="1100"/>
            </a:p>
          </xdr:txBody>
        </xdr:sp>
      </mc:Choice>
      <mc:Fallback xmlns="">
        <xdr:sp macro="" textlink="">
          <xdr:nvSpPr>
            <xdr:cNvPr id="7" name="TextBox 6">
              <a:extLst>
                <a:ext uri="{FF2B5EF4-FFF2-40B4-BE49-F238E27FC236}">
                  <a16:creationId xmlns:a16="http://schemas.microsoft.com/office/drawing/2014/main" id="{0A4ED55C-BF13-417D-B3A3-D9A955EC16B9}"/>
                </a:ext>
              </a:extLst>
            </xdr:cNvPr>
            <xdr:cNvSpPr txBox="1"/>
          </xdr:nvSpPr>
          <xdr:spPr>
            <a:xfrm>
              <a:off x="0" y="11744325"/>
              <a:ext cx="1031757" cy="35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l-GR" sz="1100" i="0">
                  <a:latin typeface="Cambria Math" panose="02040503050406030204" pitchFamily="18" charset="0"/>
                </a:rPr>
                <a:t>π</a:t>
              </a:r>
              <a:r>
                <a:rPr lang="en-AU" sz="1100" i="0">
                  <a:latin typeface="Cambria Math" panose="02040503050406030204" pitchFamily="18" charset="0"/>
                </a:rPr>
                <a:t>/</a:t>
              </a:r>
              <a:r>
                <a:rPr lang="en-GB" sz="1100" b="0" i="0">
                  <a:latin typeface="Cambria Math" panose="02040503050406030204" pitchFamily="18" charset="0"/>
                </a:rPr>
                <a:t>4∗𝑑^2∗𝑙𝑒𝑛𝑔𝑡ℎ/𝑠𝑝𝑎𝑐𝑖𝑛𝑔</a:t>
              </a:r>
              <a:endParaRPr lang="en-AU" sz="1100"/>
            </a:p>
          </xdr:txBody>
        </xdr:sp>
      </mc:Fallback>
    </mc:AlternateContent>
    <xdr:clientData/>
  </xdr:oneCellAnchor>
  <xdr:oneCellAnchor>
    <xdr:from>
      <xdr:col>0</xdr:col>
      <xdr:colOff>0</xdr:colOff>
      <xdr:row>78</xdr:row>
      <xdr:rowOff>0</xdr:rowOff>
    </xdr:from>
    <xdr:ext cx="1620444" cy="1831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0" y="13515975"/>
              <a:ext cx="162044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𝐶𝑐</m:t>
                    </m:r>
                    <m:r>
                      <a:rPr lang="en-GB" sz="1100" b="0" i="1">
                        <a:latin typeface="Cambria Math" panose="02040503050406030204" pitchFamily="18" charset="0"/>
                      </a:rPr>
                      <m:t>= </m:t>
                    </m:r>
                    <m:r>
                      <m:rPr>
                        <m:sty m:val="p"/>
                      </m:rPr>
                      <a:rPr lang="el-GR" sz="1100" b="0" i="1">
                        <a:latin typeface="Cambria Math" panose="02040503050406030204" pitchFamily="18" charset="0"/>
                      </a:rPr>
                      <m:t>α</m:t>
                    </m:r>
                    <m:r>
                      <a:rPr lang="en-GB" sz="1100" b="0" i="1">
                        <a:latin typeface="Cambria Math" panose="02040503050406030204" pitchFamily="18" charset="0"/>
                      </a:rPr>
                      <m:t>∗</m:t>
                    </m:r>
                    <m:r>
                      <m:rPr>
                        <m:sty m:val="p"/>
                      </m:rPr>
                      <a:rPr lang="el-GR" sz="1100" b="0" i="1">
                        <a:latin typeface="Cambria Math" panose="02040503050406030204" pitchFamily="18" charset="0"/>
                      </a:rPr>
                      <m:t>γ</m:t>
                    </m:r>
                    <m:r>
                      <a:rPr lang="en-GB" sz="1100" b="0" i="1">
                        <a:latin typeface="Cambria Math" panose="02040503050406030204" pitchFamily="18" charset="0"/>
                      </a:rPr>
                      <m:t>∗</m:t>
                    </m:r>
                    <m:sSubSup>
                      <m:sSubSupPr>
                        <m:ctrlPr>
                          <a:rPr lang="en-GB" sz="1100" b="0" i="1">
                            <a:latin typeface="Cambria Math" panose="02040503050406030204" pitchFamily="18" charset="0"/>
                          </a:rPr>
                        </m:ctrlPr>
                      </m:sSubSupPr>
                      <m:e>
                        <m:r>
                          <a:rPr lang="en-GB" sz="1100" b="0" i="1">
                            <a:latin typeface="Cambria Math" panose="02040503050406030204" pitchFamily="18" charset="0"/>
                          </a:rPr>
                          <m:t>𝑓</m:t>
                        </m:r>
                      </m:e>
                      <m:sub>
                        <m:r>
                          <a:rPr lang="en-GB" sz="1100" b="0" i="1">
                            <a:latin typeface="Cambria Math" panose="02040503050406030204" pitchFamily="18" charset="0"/>
                          </a:rPr>
                          <m:t>𝑐</m:t>
                        </m:r>
                      </m:sub>
                      <m:sup>
                        <m:r>
                          <a:rPr lang="en-GB" sz="1100" b="0" i="1">
                            <a:latin typeface="Cambria Math" panose="02040503050406030204" pitchFamily="18" charset="0"/>
                          </a:rPr>
                          <m:t>′</m:t>
                        </m:r>
                      </m:sup>
                    </m:sSubSup>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𝑏</m:t>
                        </m:r>
                      </m:e>
                      <m:sub>
                        <m:r>
                          <a:rPr lang="en-GB" sz="1100" b="0" i="1">
                            <a:latin typeface="Cambria Math" panose="02040503050406030204" pitchFamily="18" charset="0"/>
                          </a:rPr>
                          <m:t>𝑒𝑓𝑓</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oMath>
                </m:oMathPara>
              </a14:m>
              <a:endParaRPr lang="en-AU" sz="1100"/>
            </a:p>
          </xdr:txBody>
        </xdr:sp>
      </mc:Choice>
      <mc:Fallback xmlns="">
        <xdr:sp macro="" textlink="">
          <xdr:nvSpPr>
            <xdr:cNvPr id="8" name="TextBox 7">
              <a:extLst>
                <a:ext uri="{FF2B5EF4-FFF2-40B4-BE49-F238E27FC236}">
                  <a16:creationId xmlns:a16="http://schemas.microsoft.com/office/drawing/2014/main" id="{FB1EFD42-8CDC-4145-9615-715885AA61B6}"/>
                </a:ext>
              </a:extLst>
            </xdr:cNvPr>
            <xdr:cNvSpPr txBox="1"/>
          </xdr:nvSpPr>
          <xdr:spPr>
            <a:xfrm>
              <a:off x="0" y="13515975"/>
              <a:ext cx="162044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𝐶𝑐= </a:t>
              </a:r>
              <a:r>
                <a:rPr lang="el-GR" sz="1100" b="0" i="0">
                  <a:latin typeface="Cambria Math" panose="02040503050406030204" pitchFamily="18" charset="0"/>
                </a:rPr>
                <a:t>α</a:t>
              </a:r>
              <a:r>
                <a:rPr lang="en-GB" sz="1100" b="0" i="0">
                  <a:latin typeface="Cambria Math" panose="02040503050406030204" pitchFamily="18" charset="0"/>
                </a:rPr>
                <a:t>∗</a:t>
              </a:r>
              <a:r>
                <a:rPr lang="el-GR" sz="1100" b="0" i="0">
                  <a:latin typeface="Cambria Math" panose="02040503050406030204" pitchFamily="18" charset="0"/>
                </a:rPr>
                <a:t>γ</a:t>
              </a:r>
              <a:r>
                <a:rPr lang="en-GB" sz="1100" b="0" i="0">
                  <a:latin typeface="Cambria Math" panose="02040503050406030204" pitchFamily="18" charset="0"/>
                </a:rPr>
                <a:t>∗𝑓_𝑐^′∗𝑏_𝑒𝑓𝑓∗𝑑_𝑛</a:t>
              </a:r>
              <a:endParaRPr lang="en-AU" sz="1100"/>
            </a:p>
          </xdr:txBody>
        </xdr:sp>
      </mc:Fallback>
    </mc:AlternateContent>
    <xdr:clientData/>
  </xdr:oneCellAnchor>
  <xdr:oneCellAnchor>
    <xdr:from>
      <xdr:col>0</xdr:col>
      <xdr:colOff>28575</xdr:colOff>
      <xdr:row>79</xdr:row>
      <xdr:rowOff>28575</xdr:rowOff>
    </xdr:from>
    <xdr:ext cx="886974" cy="182935"/>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26670" y="13752195"/>
              <a:ext cx="886974"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𝑇𝑡</m:t>
                    </m:r>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𝑠𝑦</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𝐴</m:t>
                        </m:r>
                      </m:e>
                      <m:sub>
                        <m:r>
                          <a:rPr lang="en-GB" sz="1100" b="0" i="1">
                            <a:latin typeface="Cambria Math" panose="02040503050406030204" pitchFamily="18" charset="0"/>
                          </a:rPr>
                          <m:t>𝑠𝑡</m:t>
                        </m:r>
                      </m:sub>
                    </m:sSub>
                  </m:oMath>
                </m:oMathPara>
              </a14:m>
              <a:endParaRPr lang="en-AU" sz="1100"/>
            </a:p>
          </xdr:txBody>
        </xdr:sp>
      </mc:Choice>
      <mc:Fallback xmlns="">
        <xdr:sp macro="" textlink="">
          <xdr:nvSpPr>
            <xdr:cNvPr id="9" name="TextBox 8">
              <a:extLst>
                <a:ext uri="{FF2B5EF4-FFF2-40B4-BE49-F238E27FC236}">
                  <a16:creationId xmlns:a16="http://schemas.microsoft.com/office/drawing/2014/main" id="{7A9B83BB-AB0E-4EC6-911E-75E04992598F}"/>
                </a:ext>
              </a:extLst>
            </xdr:cNvPr>
            <xdr:cNvSpPr txBox="1"/>
          </xdr:nvSpPr>
          <xdr:spPr>
            <a:xfrm>
              <a:off x="26670" y="13752195"/>
              <a:ext cx="886974"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𝑇𝑡= 𝑓_𝑠𝑦∗𝐴_𝑠𝑡</a:t>
              </a:r>
              <a:endParaRPr lang="en-AU" sz="1100"/>
            </a:p>
          </xdr:txBody>
        </xdr:sp>
      </mc:Fallback>
    </mc:AlternateContent>
    <xdr:clientData/>
  </xdr:oneCellAnchor>
  <xdr:oneCellAnchor>
    <xdr:from>
      <xdr:col>0</xdr:col>
      <xdr:colOff>0</xdr:colOff>
      <xdr:row>80</xdr:row>
      <xdr:rowOff>0</xdr:rowOff>
    </xdr:from>
    <xdr:ext cx="1982209" cy="408189"/>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0" y="13963650"/>
              <a:ext cx="1982209" cy="408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𝐶</m:t>
                        </m:r>
                      </m:e>
                      <m:sub>
                        <m:r>
                          <a:rPr lang="en-GB" sz="1100" b="0" i="1">
                            <a:latin typeface="Cambria Math" panose="02040503050406030204" pitchFamily="18" charset="0"/>
                          </a:rPr>
                          <m:t>𝑐</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𝑇</m:t>
                        </m:r>
                      </m:e>
                      <m:sub>
                        <m:r>
                          <a:rPr lang="en-GB" sz="1100" b="0" i="1">
                            <a:latin typeface="Cambria Math" panose="02040503050406030204" pitchFamily="18" charset="0"/>
                          </a:rPr>
                          <m:t>𝑡</m:t>
                        </m:r>
                      </m:sub>
                    </m:sSub>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r>
                      <a:rPr lang="en-GB" sz="1100" b="0" i="1">
                        <a:latin typeface="Cambria Math" panose="02040503050406030204" pitchFamily="18" charset="0"/>
                      </a:rPr>
                      <m:t>= </m:t>
                    </m:r>
                    <m:f>
                      <m:fPr>
                        <m:ctrlPr>
                          <a:rPr lang="en-GB" sz="1100" b="0" i="1">
                            <a:latin typeface="Cambria Math" panose="02040503050406030204" pitchFamily="18" charset="0"/>
                          </a:rPr>
                        </m:ctrlPr>
                      </m:fPr>
                      <m:num>
                        <m:r>
                          <m:rPr>
                            <m:sty m:val="p"/>
                          </m:rPr>
                          <a:rPr lang="el-GR" sz="1100" b="0" i="1">
                            <a:solidFill>
                              <a:schemeClr val="tx1"/>
                            </a:solidFill>
                            <a:effectLst/>
                            <a:latin typeface="Cambria Math" panose="02040503050406030204" pitchFamily="18" charset="0"/>
                            <a:ea typeface="+mn-ea"/>
                            <a:cs typeface="+mn-cs"/>
                          </a:rPr>
                          <m:t>α</m:t>
                        </m:r>
                        <m:r>
                          <a:rPr lang="en-GB" sz="1100" b="0" i="1">
                            <a:solidFill>
                              <a:schemeClr val="tx1"/>
                            </a:solidFill>
                            <a:effectLst/>
                            <a:latin typeface="Cambria Math" panose="02040503050406030204" pitchFamily="18" charset="0"/>
                            <a:ea typeface="+mn-ea"/>
                            <a:cs typeface="+mn-cs"/>
                          </a:rPr>
                          <m:t>∗</m:t>
                        </m:r>
                        <m:r>
                          <m:rPr>
                            <m:sty m:val="p"/>
                          </m:rPr>
                          <a:rPr lang="el-GR" sz="1100" b="0" i="1">
                            <a:solidFill>
                              <a:schemeClr val="tx1"/>
                            </a:solidFill>
                            <a:effectLst/>
                            <a:latin typeface="Cambria Math" panose="02040503050406030204" pitchFamily="18" charset="0"/>
                            <a:ea typeface="+mn-ea"/>
                            <a:cs typeface="+mn-cs"/>
                          </a:rPr>
                          <m:t>γ</m:t>
                        </m:r>
                        <m:r>
                          <a:rPr lang="en-GB" sz="1100" b="0" i="1">
                            <a:solidFill>
                              <a:schemeClr val="tx1"/>
                            </a:solidFill>
                            <a:effectLst/>
                            <a:latin typeface="Cambria Math" panose="02040503050406030204" pitchFamily="18" charset="0"/>
                            <a:ea typeface="+mn-ea"/>
                            <a:cs typeface="+mn-cs"/>
                          </a:rPr>
                          <m:t>∗</m:t>
                        </m:r>
                        <m:sSubSup>
                          <m:sSubSupPr>
                            <m:ctrlPr>
                              <a:rPr lang="en-GB" sz="1100" b="0" i="1">
                                <a:solidFill>
                                  <a:schemeClr val="tx1"/>
                                </a:solidFill>
                                <a:effectLst/>
                                <a:latin typeface="Cambria Math" panose="02040503050406030204" pitchFamily="18" charset="0"/>
                                <a:ea typeface="+mn-ea"/>
                                <a:cs typeface="+mn-cs"/>
                              </a:rPr>
                            </m:ctrlPr>
                          </m:sSubSupPr>
                          <m:e>
                            <m:r>
                              <a:rPr lang="en-GB" sz="1100" b="0" i="1">
                                <a:solidFill>
                                  <a:schemeClr val="tx1"/>
                                </a:solidFill>
                                <a:effectLst/>
                                <a:latin typeface="Cambria Math" panose="02040503050406030204" pitchFamily="18" charset="0"/>
                                <a:ea typeface="+mn-ea"/>
                                <a:cs typeface="+mn-cs"/>
                              </a:rPr>
                              <m:t>𝑓</m:t>
                            </m:r>
                          </m:e>
                          <m:sub>
                            <m:r>
                              <a:rPr lang="en-GB" sz="1100" b="0" i="1">
                                <a:solidFill>
                                  <a:schemeClr val="tx1"/>
                                </a:solidFill>
                                <a:effectLst/>
                                <a:latin typeface="Cambria Math" panose="02040503050406030204" pitchFamily="18" charset="0"/>
                                <a:ea typeface="+mn-ea"/>
                                <a:cs typeface="+mn-cs"/>
                              </a:rPr>
                              <m:t>𝑐</m:t>
                            </m:r>
                          </m:sub>
                          <m:sup>
                            <m:r>
                              <a:rPr lang="en-GB" sz="1100" b="0" i="1">
                                <a:solidFill>
                                  <a:schemeClr val="tx1"/>
                                </a:solidFill>
                                <a:effectLst/>
                                <a:latin typeface="Cambria Math" panose="02040503050406030204" pitchFamily="18" charset="0"/>
                                <a:ea typeface="+mn-ea"/>
                                <a:cs typeface="+mn-cs"/>
                              </a:rPr>
                              <m:t>′</m:t>
                            </m:r>
                          </m:sup>
                        </m:sSubSup>
                        <m:r>
                          <a:rPr lang="en-GB" sz="1100" b="0" i="1">
                            <a:solidFill>
                              <a:schemeClr val="tx1"/>
                            </a:solidFill>
                            <a:effectLst/>
                            <a:latin typeface="Cambria Math" panose="02040503050406030204" pitchFamily="18" charset="0"/>
                            <a:ea typeface="+mn-ea"/>
                            <a:cs typeface="+mn-cs"/>
                          </a:rPr>
                          <m:t>∗</m:t>
                        </m:r>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𝑏</m:t>
                            </m:r>
                          </m:e>
                          <m:sub>
                            <m:r>
                              <a:rPr lang="en-GB" sz="1100" b="0" i="1">
                                <a:solidFill>
                                  <a:schemeClr val="tx1"/>
                                </a:solidFill>
                                <a:effectLst/>
                                <a:latin typeface="Cambria Math" panose="02040503050406030204" pitchFamily="18" charset="0"/>
                                <a:ea typeface="+mn-ea"/>
                                <a:cs typeface="+mn-cs"/>
                              </a:rPr>
                              <m:t>𝑒𝑓𝑓</m:t>
                            </m:r>
                          </m:sub>
                        </m:sSub>
                      </m:num>
                      <m:den>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𝑓</m:t>
                            </m:r>
                          </m:e>
                          <m:sub>
                            <m:r>
                              <a:rPr lang="en-GB" sz="1100" b="0" i="1">
                                <a:solidFill>
                                  <a:schemeClr val="tx1"/>
                                </a:solidFill>
                                <a:effectLst/>
                                <a:latin typeface="Cambria Math" panose="02040503050406030204" pitchFamily="18" charset="0"/>
                                <a:ea typeface="+mn-ea"/>
                                <a:cs typeface="+mn-cs"/>
                              </a:rPr>
                              <m:t>𝑠𝑦</m:t>
                            </m:r>
                          </m:sub>
                        </m:sSub>
                        <m:r>
                          <a:rPr lang="en-GB" sz="1100" b="0" i="1">
                            <a:solidFill>
                              <a:schemeClr val="tx1"/>
                            </a:solidFill>
                            <a:effectLst/>
                            <a:latin typeface="Cambria Math" panose="02040503050406030204" pitchFamily="18" charset="0"/>
                            <a:ea typeface="+mn-ea"/>
                            <a:cs typeface="+mn-cs"/>
                          </a:rPr>
                          <m:t>∗</m:t>
                        </m:r>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𝐴</m:t>
                            </m:r>
                          </m:e>
                          <m:sub>
                            <m:r>
                              <a:rPr lang="en-GB" sz="1100" b="0" i="1">
                                <a:solidFill>
                                  <a:schemeClr val="tx1"/>
                                </a:solidFill>
                                <a:effectLst/>
                                <a:latin typeface="Cambria Math" panose="02040503050406030204" pitchFamily="18" charset="0"/>
                                <a:ea typeface="+mn-ea"/>
                                <a:cs typeface="+mn-cs"/>
                              </a:rPr>
                              <m:t>𝑠𝑡</m:t>
                            </m:r>
                          </m:sub>
                        </m:sSub>
                      </m:den>
                    </m:f>
                  </m:oMath>
                </m:oMathPara>
              </a14:m>
              <a:endParaRPr lang="en-AU" sz="1100"/>
            </a:p>
          </xdr:txBody>
        </xdr:sp>
      </mc:Choice>
      <mc:Fallback xmlns="">
        <xdr:sp macro="" textlink="">
          <xdr:nvSpPr>
            <xdr:cNvPr id="10" name="TextBox 9">
              <a:extLst>
                <a:ext uri="{FF2B5EF4-FFF2-40B4-BE49-F238E27FC236}">
                  <a16:creationId xmlns:a16="http://schemas.microsoft.com/office/drawing/2014/main" id="{51C0DBE4-3209-47C4-8787-21DFA4B4A607}"/>
                </a:ext>
              </a:extLst>
            </xdr:cNvPr>
            <xdr:cNvSpPr txBox="1"/>
          </xdr:nvSpPr>
          <xdr:spPr>
            <a:xfrm>
              <a:off x="0" y="13963650"/>
              <a:ext cx="1982209" cy="408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𝐶</a:t>
              </a:r>
              <a:r>
                <a:rPr lang="en-AU" sz="1100" b="0" i="0">
                  <a:latin typeface="Cambria Math" panose="02040503050406030204" pitchFamily="18" charset="0"/>
                </a:rPr>
                <a:t>_</a:t>
              </a:r>
              <a:r>
                <a:rPr lang="en-GB" sz="1100" b="0" i="0">
                  <a:latin typeface="Cambria Math" panose="02040503050406030204" pitchFamily="18" charset="0"/>
                </a:rPr>
                <a:t>𝑐=𝑇_𝑡→ 𝑑_𝑛= </a:t>
              </a:r>
              <a:r>
                <a:rPr lang="el-GR" sz="1100" b="0" i="0">
                  <a:solidFill>
                    <a:schemeClr val="tx1"/>
                  </a:solidFill>
                  <a:effectLst/>
                  <a:latin typeface="Cambria Math" panose="02040503050406030204" pitchFamily="18" charset="0"/>
                  <a:ea typeface="+mn-ea"/>
                  <a:cs typeface="+mn-cs"/>
                </a:rPr>
                <a:t> </a:t>
              </a:r>
              <a:r>
                <a:rPr lang="en-GB" sz="1100" b="0" i="0">
                  <a:solidFill>
                    <a:schemeClr val="tx1"/>
                  </a:solidFill>
                  <a:effectLst/>
                  <a:latin typeface="Cambria Math" panose="02040503050406030204" pitchFamily="18" charset="0"/>
                  <a:ea typeface="+mn-ea"/>
                  <a:cs typeface="+mn-cs"/>
                </a:rPr>
                <a:t>(</a:t>
              </a:r>
              <a:r>
                <a:rPr lang="el-GR" sz="1100" b="0" i="0">
                  <a:solidFill>
                    <a:schemeClr val="tx1"/>
                  </a:solidFill>
                  <a:effectLst/>
                  <a:latin typeface="Cambria Math" panose="02040503050406030204" pitchFamily="18" charset="0"/>
                  <a:ea typeface="+mn-ea"/>
                  <a:cs typeface="+mn-cs"/>
                </a:rPr>
                <a:t>α</a:t>
              </a:r>
              <a:r>
                <a:rPr lang="en-GB" sz="1100" b="0" i="0">
                  <a:solidFill>
                    <a:schemeClr val="tx1"/>
                  </a:solidFill>
                  <a:effectLst/>
                  <a:latin typeface="Cambria Math" panose="02040503050406030204" pitchFamily="18" charset="0"/>
                  <a:ea typeface="+mn-ea"/>
                  <a:cs typeface="+mn-cs"/>
                </a:rPr>
                <a:t>∗</a:t>
              </a:r>
              <a:r>
                <a:rPr lang="el-GR" sz="1100" b="0" i="0">
                  <a:solidFill>
                    <a:schemeClr val="tx1"/>
                  </a:solidFill>
                  <a:effectLst/>
                  <a:latin typeface="Cambria Math" panose="02040503050406030204" pitchFamily="18" charset="0"/>
                  <a:ea typeface="+mn-ea"/>
                  <a:cs typeface="+mn-cs"/>
                </a:rPr>
                <a:t>γ</a:t>
              </a:r>
              <a:r>
                <a:rPr lang="en-GB" sz="1100" b="0" i="0">
                  <a:solidFill>
                    <a:schemeClr val="tx1"/>
                  </a:solidFill>
                  <a:effectLst/>
                  <a:latin typeface="Cambria Math" panose="02040503050406030204" pitchFamily="18" charset="0"/>
                  <a:ea typeface="+mn-ea"/>
                  <a:cs typeface="+mn-cs"/>
                </a:rPr>
                <a:t>∗𝑓_𝑐^′∗𝑏_𝑒𝑓𝑓)/(𝑓_𝑠𝑦∗𝐴_𝑠𝑡 )</a:t>
              </a:r>
              <a:endParaRPr lang="en-AU" sz="1100"/>
            </a:p>
          </xdr:txBody>
        </xdr:sp>
      </mc:Fallback>
    </mc:AlternateContent>
    <xdr:clientData/>
  </xdr:oneCellAnchor>
  <xdr:oneCellAnchor>
    <xdr:from>
      <xdr:col>0</xdr:col>
      <xdr:colOff>0</xdr:colOff>
      <xdr:row>81</xdr:row>
      <xdr:rowOff>0</xdr:rowOff>
    </xdr:from>
    <xdr:ext cx="594650" cy="320280"/>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0" y="14449425"/>
              <a:ext cx="594650"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𝐾</m:t>
                        </m:r>
                      </m:e>
                      <m:sub>
                        <m:r>
                          <a:rPr lang="en-GB" sz="1100" b="0" i="1">
                            <a:latin typeface="Cambria Math" panose="02040503050406030204" pitchFamily="18" charset="0"/>
                          </a:rPr>
                          <m:t>𝑢𝑜</m:t>
                        </m:r>
                      </m:sub>
                    </m:sSub>
                    <m:r>
                      <a:rPr lang="en-GB" sz="1100" b="0" i="1">
                        <a:latin typeface="Cambria Math" panose="02040503050406030204" pitchFamily="18" charset="0"/>
                      </a:rPr>
                      <m:t>=</m:t>
                    </m:r>
                    <m:f>
                      <m:fPr>
                        <m:ctrlPr>
                          <a:rPr lang="en-GB" sz="1100" b="0" i="1">
                            <a:latin typeface="Cambria Math" panose="02040503050406030204" pitchFamily="18" charset="0"/>
                          </a:rPr>
                        </m:ctrlPr>
                      </m:fPr>
                      <m:num>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num>
                      <m:den>
                        <m:r>
                          <a:rPr lang="en-GB" sz="1100" b="0" i="1">
                            <a:latin typeface="Cambria Math" panose="02040503050406030204" pitchFamily="18" charset="0"/>
                          </a:rPr>
                          <m:t>𝑑</m:t>
                        </m:r>
                      </m:den>
                    </m:f>
                  </m:oMath>
                </m:oMathPara>
              </a14:m>
              <a:endParaRPr lang="en-AU" sz="1100"/>
            </a:p>
          </xdr:txBody>
        </xdr:sp>
      </mc:Choice>
      <mc:Fallback xmlns="">
        <xdr:sp macro="" textlink="">
          <xdr:nvSpPr>
            <xdr:cNvPr id="11" name="TextBox 10">
              <a:extLst>
                <a:ext uri="{FF2B5EF4-FFF2-40B4-BE49-F238E27FC236}">
                  <a16:creationId xmlns:a16="http://schemas.microsoft.com/office/drawing/2014/main" id="{766E3797-55F5-4780-94A7-FEF848905CB6}"/>
                </a:ext>
              </a:extLst>
            </xdr:cNvPr>
            <xdr:cNvSpPr txBox="1"/>
          </xdr:nvSpPr>
          <xdr:spPr>
            <a:xfrm>
              <a:off x="0" y="14449425"/>
              <a:ext cx="594650"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𝐾</a:t>
              </a:r>
              <a:r>
                <a:rPr lang="en-AU" sz="1100" b="0" i="0">
                  <a:latin typeface="Cambria Math" panose="02040503050406030204" pitchFamily="18" charset="0"/>
                </a:rPr>
                <a:t>_</a:t>
              </a:r>
              <a:r>
                <a:rPr lang="en-GB" sz="1100" b="0" i="0">
                  <a:latin typeface="Cambria Math" panose="02040503050406030204" pitchFamily="18" charset="0"/>
                </a:rPr>
                <a:t>𝑢𝑜=𝑑_𝑛/𝑑</a:t>
              </a:r>
              <a:endParaRPr lang="en-AU" sz="1100"/>
            </a:p>
          </xdr:txBody>
        </xdr:sp>
      </mc:Fallback>
    </mc:AlternateContent>
    <xdr:clientData/>
  </xdr:oneCellAnchor>
  <xdr:oneCellAnchor>
    <xdr:from>
      <xdr:col>0</xdr:col>
      <xdr:colOff>0</xdr:colOff>
      <xdr:row>84</xdr:row>
      <xdr:rowOff>0</xdr:rowOff>
    </xdr:from>
    <xdr:ext cx="1745671" cy="415050"/>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0" y="15116175"/>
              <a:ext cx="1745671" cy="415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AU" sz="1100" i="1">
                      <a:latin typeface="Cambria Math" panose="02040503050406030204" pitchFamily="18" charset="0"/>
                      <a:ea typeface="Cambria Math" panose="02040503050406030204" pitchFamily="18" charset="0"/>
                    </a:rPr>
                    <m:t>∅</m:t>
                  </m:r>
                  <m:r>
                    <a:rPr lang="en-GB" sz="1100" b="0" i="1">
                      <a:latin typeface="Cambria Math" panose="02040503050406030204" pitchFamily="18" charset="0"/>
                      <a:ea typeface="Cambria Math" panose="02040503050406030204" pitchFamily="18" charset="0"/>
                    </a:rPr>
                    <m:t>∗</m:t>
                  </m:r>
                  <m:sSub>
                    <m:sSubPr>
                      <m:ctrlPr>
                        <a:rPr lang="en-GB" sz="1100" b="0" i="1">
                          <a:latin typeface="Cambria Math" panose="02040503050406030204" pitchFamily="18" charset="0"/>
                          <a:ea typeface="Cambria Math" panose="02040503050406030204" pitchFamily="18" charset="0"/>
                        </a:rPr>
                      </m:ctrlPr>
                    </m:sSubPr>
                    <m:e>
                      <m:r>
                        <a:rPr lang="en-GB" sz="1100" b="0" i="1">
                          <a:latin typeface="Cambria Math" panose="02040503050406030204" pitchFamily="18" charset="0"/>
                          <a:ea typeface="Cambria Math" panose="02040503050406030204" pitchFamily="18" charset="0"/>
                        </a:rPr>
                        <m:t>𝑀</m:t>
                      </m:r>
                    </m:e>
                    <m:sub>
                      <m:r>
                        <a:rPr lang="en-GB" sz="1100" b="0" i="1">
                          <a:latin typeface="Cambria Math" panose="02040503050406030204" pitchFamily="18" charset="0"/>
                          <a:ea typeface="Cambria Math" panose="02040503050406030204" pitchFamily="18" charset="0"/>
                        </a:rPr>
                        <m:t>𝑢𝑜</m:t>
                      </m:r>
                    </m:sub>
                  </m:sSub>
                  <m:r>
                    <a:rPr lang="en-GB" sz="1100" b="0" i="1">
                      <a:latin typeface="Cambria Math" panose="02040503050406030204" pitchFamily="18" charset="0"/>
                      <a:ea typeface="Cambria Math" panose="02040503050406030204" pitchFamily="18" charset="0"/>
                    </a:rPr>
                    <m:t>= ∅∗</m:t>
                  </m:r>
                  <m:r>
                    <a:rPr lang="en-GB" sz="1100" b="0" i="1">
                      <a:latin typeface="Cambria Math" panose="02040503050406030204" pitchFamily="18" charset="0"/>
                      <a:ea typeface="Cambria Math" panose="02040503050406030204" pitchFamily="18" charset="0"/>
                    </a:rPr>
                    <m:t>𝑇</m:t>
                  </m:r>
                  <m:r>
                    <a:rPr lang="en-GB" sz="1100" b="0" i="1">
                      <a:latin typeface="Cambria Math" panose="02040503050406030204" pitchFamily="18" charset="0"/>
                      <a:ea typeface="Cambria Math" panose="02040503050406030204" pitchFamily="18" charset="0"/>
                    </a:rPr>
                    <m:t> ∗(</m:t>
                  </m:r>
                  <m:r>
                    <a:rPr lang="en-GB" sz="1100" b="0" i="1">
                      <a:latin typeface="Cambria Math" panose="02040503050406030204" pitchFamily="18" charset="0"/>
                      <a:ea typeface="Cambria Math" panose="02040503050406030204" pitchFamily="18" charset="0"/>
                    </a:rPr>
                    <m:t>𝑑</m:t>
                  </m:r>
                  <m:r>
                    <a:rPr lang="en-GB" sz="1100" b="0" i="1">
                      <a:latin typeface="Cambria Math" panose="02040503050406030204" pitchFamily="18" charset="0"/>
                      <a:ea typeface="Cambria Math" panose="02040503050406030204" pitchFamily="18" charset="0"/>
                    </a:rPr>
                    <m:t>−</m:t>
                  </m:r>
                  <m:f>
                    <m:fPr>
                      <m:ctrlPr>
                        <a:rPr lang="en-GB" sz="1100" b="0" i="1">
                          <a:latin typeface="Cambria Math" panose="02040503050406030204" pitchFamily="18" charset="0"/>
                          <a:ea typeface="Cambria Math" panose="02040503050406030204" pitchFamily="18" charset="0"/>
                        </a:rPr>
                      </m:ctrlPr>
                    </m:fPr>
                    <m:num>
                      <m:r>
                        <m:rPr>
                          <m:sty m:val="p"/>
                        </m:rPr>
                        <a:rPr lang="el-GR" sz="1100" b="0" i="1">
                          <a:latin typeface="Cambria Math" panose="02040503050406030204" pitchFamily="18" charset="0"/>
                          <a:ea typeface="Cambria Math" panose="02040503050406030204" pitchFamily="18" charset="0"/>
                        </a:rPr>
                        <m:t>γ</m:t>
                      </m:r>
                      <m:r>
                        <a:rPr lang="en-GB" sz="1100" b="0" i="1">
                          <a:latin typeface="Cambria Math" panose="02040503050406030204" pitchFamily="18" charset="0"/>
                          <a:ea typeface="Cambria Math" panose="02040503050406030204" pitchFamily="18" charset="0"/>
                        </a:rPr>
                        <m:t>∗</m:t>
                      </m:r>
                      <m:sSub>
                        <m:sSubPr>
                          <m:ctrlPr>
                            <a:rPr lang="en-GB" sz="1100" b="0" i="1">
                              <a:latin typeface="Cambria Math" panose="02040503050406030204" pitchFamily="18" charset="0"/>
                              <a:ea typeface="Cambria Math" panose="02040503050406030204" pitchFamily="18" charset="0"/>
                            </a:rPr>
                          </m:ctrlPr>
                        </m:sSubPr>
                        <m:e>
                          <m:r>
                            <a:rPr lang="en-GB" sz="1100" b="0" i="1">
                              <a:latin typeface="Cambria Math" panose="02040503050406030204" pitchFamily="18" charset="0"/>
                              <a:ea typeface="Cambria Math" panose="02040503050406030204" pitchFamily="18" charset="0"/>
                            </a:rPr>
                            <m:t>𝑑</m:t>
                          </m:r>
                        </m:e>
                        <m:sub>
                          <m:r>
                            <a:rPr lang="en-GB" sz="1100" b="0" i="1">
                              <a:latin typeface="Cambria Math" panose="02040503050406030204" pitchFamily="18" charset="0"/>
                              <a:ea typeface="Cambria Math" panose="02040503050406030204" pitchFamily="18" charset="0"/>
                            </a:rPr>
                            <m:t>𝑛</m:t>
                          </m:r>
                        </m:sub>
                      </m:sSub>
                    </m:num>
                    <m:den>
                      <m:r>
                        <a:rPr lang="en-GB" sz="1100" b="0" i="1">
                          <a:latin typeface="Cambria Math" panose="02040503050406030204" pitchFamily="18" charset="0"/>
                          <a:ea typeface="Cambria Math" panose="02040503050406030204" pitchFamily="18" charset="0"/>
                        </a:rPr>
                        <m:t>2</m:t>
                      </m:r>
                    </m:den>
                  </m:f>
                </m:oMath>
              </a14:m>
              <a:r>
                <a:rPr lang="en-AU" sz="1100"/>
                <a:t>)</a:t>
              </a:r>
            </a:p>
            <a:p>
              <a:endParaRPr lang="en-AU" sz="1100"/>
            </a:p>
          </xdr:txBody>
        </xdr:sp>
      </mc:Choice>
      <mc:Fallback xmlns="">
        <xdr:sp macro="" textlink="">
          <xdr:nvSpPr>
            <xdr:cNvPr id="12" name="TextBox 11">
              <a:extLst>
                <a:ext uri="{FF2B5EF4-FFF2-40B4-BE49-F238E27FC236}">
                  <a16:creationId xmlns:a16="http://schemas.microsoft.com/office/drawing/2014/main" id="{67F1846E-099C-4BE7-B0F2-A72E8670D9FF}"/>
                </a:ext>
              </a:extLst>
            </xdr:cNvPr>
            <xdr:cNvSpPr txBox="1"/>
          </xdr:nvSpPr>
          <xdr:spPr>
            <a:xfrm>
              <a:off x="0" y="15116175"/>
              <a:ext cx="1745671" cy="415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AU" sz="1100" i="0">
                  <a:latin typeface="Cambria Math" panose="02040503050406030204" pitchFamily="18" charset="0"/>
                  <a:ea typeface="Cambria Math" panose="02040503050406030204" pitchFamily="18" charset="0"/>
                </a:rPr>
                <a:t>∅</a:t>
              </a:r>
              <a:r>
                <a:rPr lang="en-GB" sz="1100" b="0" i="0">
                  <a:latin typeface="Cambria Math" panose="02040503050406030204" pitchFamily="18" charset="0"/>
                  <a:ea typeface="Cambria Math" panose="02040503050406030204" pitchFamily="18" charset="0"/>
                </a:rPr>
                <a:t>∗𝑀_𝑢𝑜= ∅∗𝑇 ∗(𝑑−(</a:t>
              </a:r>
              <a:r>
                <a:rPr lang="el-GR" sz="1100" b="0" i="0">
                  <a:latin typeface="Cambria Math" panose="02040503050406030204" pitchFamily="18" charset="0"/>
                  <a:ea typeface="Cambria Math" panose="02040503050406030204" pitchFamily="18" charset="0"/>
                </a:rPr>
                <a:t>γ</a:t>
              </a:r>
              <a:r>
                <a:rPr lang="en-GB" sz="1100" b="0" i="0">
                  <a:latin typeface="Cambria Math" panose="02040503050406030204" pitchFamily="18" charset="0"/>
                  <a:ea typeface="Cambria Math" panose="02040503050406030204" pitchFamily="18" charset="0"/>
                </a:rPr>
                <a:t>∗𝑑_𝑛)/2</a:t>
              </a:r>
              <a:r>
                <a:rPr lang="en-AU" sz="1100"/>
                <a:t>)</a:t>
              </a:r>
            </a:p>
            <a:p>
              <a:pPr/>
              <a:endParaRPr lang="en-AU" sz="1100"/>
            </a:p>
          </xdr:txBody>
        </xdr:sp>
      </mc:Fallback>
    </mc:AlternateContent>
    <xdr:clientData/>
  </xdr:oneCellAnchor>
  <xdr:twoCellAnchor editAs="absolute">
    <xdr:from>
      <xdr:col>0</xdr:col>
      <xdr:colOff>0</xdr:colOff>
      <xdr:row>0</xdr:row>
      <xdr:rowOff>0</xdr:rowOff>
    </xdr:from>
    <xdr:to>
      <xdr:col>6</xdr:col>
      <xdr:colOff>440884</xdr:colOff>
      <xdr:row>5</xdr:row>
      <xdr:rowOff>26392</xdr:rowOff>
    </xdr:to>
    <xdr:grpSp>
      <xdr:nvGrpSpPr>
        <xdr:cNvPr id="4" name="GroupedHeader">
          <a:extLst>
            <a:ext uri="{FF2B5EF4-FFF2-40B4-BE49-F238E27FC236}">
              <a16:creationId xmlns:a16="http://schemas.microsoft.com/office/drawing/2014/main" id="{F67D0F9A-DE4B-454E-AC9A-A096177C0BDE}"/>
            </a:ext>
          </a:extLst>
        </xdr:cNvPr>
        <xdr:cNvGrpSpPr/>
      </xdr:nvGrpSpPr>
      <xdr:grpSpPr>
        <a:xfrm>
          <a:off x="0" y="0"/>
          <a:ext cx="5973004" cy="1253212"/>
          <a:chOff x="15516225" y="79277"/>
          <a:chExt cx="6609367" cy="1328247"/>
        </a:xfrm>
      </xdr:grpSpPr>
      <xdr:sp macro="" textlink="job_no">
        <xdr:nvSpPr>
          <xdr:cNvPr id="13" name="Text Box 39">
            <a:extLst>
              <a:ext uri="{FF2B5EF4-FFF2-40B4-BE49-F238E27FC236}">
                <a16:creationId xmlns:a16="http://schemas.microsoft.com/office/drawing/2014/main" id="{02839202-F843-6B5E-A36F-FE7D3F0F792F}"/>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14" name="Text Box 39">
            <a:extLst>
              <a:ext uri="{FF2B5EF4-FFF2-40B4-BE49-F238E27FC236}">
                <a16:creationId xmlns:a16="http://schemas.microsoft.com/office/drawing/2014/main" id="{C6D58532-EF21-9288-7E98-FD3B866C6836}"/>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15" name="Text Box 39">
            <a:extLst>
              <a:ext uri="{FF2B5EF4-FFF2-40B4-BE49-F238E27FC236}">
                <a16:creationId xmlns:a16="http://schemas.microsoft.com/office/drawing/2014/main" id="{3E7698F9-CBFA-44E4-2104-8FD01C24B933}"/>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16" name="Text Box 39">
            <a:extLst>
              <a:ext uri="{FF2B5EF4-FFF2-40B4-BE49-F238E27FC236}">
                <a16:creationId xmlns:a16="http://schemas.microsoft.com/office/drawing/2014/main" id="{EE67BBF6-47C8-1EF4-BA77-CB5DE812B5A9}"/>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17" name="Text Box 39">
            <a:extLst>
              <a:ext uri="{FF2B5EF4-FFF2-40B4-BE49-F238E27FC236}">
                <a16:creationId xmlns:a16="http://schemas.microsoft.com/office/drawing/2014/main" id="{9AA8EA4F-5778-FDC3-74C3-31B39823B572}"/>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18" name="DisclaimerBox">
            <a:extLst>
              <a:ext uri="{FF2B5EF4-FFF2-40B4-BE49-F238E27FC236}">
                <a16:creationId xmlns:a16="http://schemas.microsoft.com/office/drawing/2014/main" id="{2940450F-07C2-E227-14F3-D1B97872001A}"/>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19" name="Rectangle 18">
            <a:extLst>
              <a:ext uri="{FF2B5EF4-FFF2-40B4-BE49-F238E27FC236}">
                <a16:creationId xmlns:a16="http://schemas.microsoft.com/office/drawing/2014/main" id="{C89203AC-D219-771F-C227-05AB65775F79}"/>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20" name="Rectangle 19">
            <a:extLst>
              <a:ext uri="{FF2B5EF4-FFF2-40B4-BE49-F238E27FC236}">
                <a16:creationId xmlns:a16="http://schemas.microsoft.com/office/drawing/2014/main" id="{81471E2F-9060-4E25-2AB8-D966DB870B7F}"/>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21" name="Rectangle 20">
            <a:extLst>
              <a:ext uri="{FF2B5EF4-FFF2-40B4-BE49-F238E27FC236}">
                <a16:creationId xmlns:a16="http://schemas.microsoft.com/office/drawing/2014/main" id="{81B6219E-65DA-E33D-165E-C61BAE96F686}"/>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22" name="Rectangle 21">
            <a:extLst>
              <a:ext uri="{FF2B5EF4-FFF2-40B4-BE49-F238E27FC236}">
                <a16:creationId xmlns:a16="http://schemas.microsoft.com/office/drawing/2014/main" id="{921AB477-1454-5E26-8C91-4AD972F7B092}"/>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23" name="Rectangle 22">
            <a:extLst>
              <a:ext uri="{FF2B5EF4-FFF2-40B4-BE49-F238E27FC236}">
                <a16:creationId xmlns:a16="http://schemas.microsoft.com/office/drawing/2014/main" id="{DA5135D2-EBD6-8845-36F3-AFC6A301E64A}"/>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24" name="Rectangle 23">
            <a:extLst>
              <a:ext uri="{FF2B5EF4-FFF2-40B4-BE49-F238E27FC236}">
                <a16:creationId xmlns:a16="http://schemas.microsoft.com/office/drawing/2014/main" id="{DD76386F-BA3A-4117-EF39-9FB0ED2A358F}"/>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25" name="TextBox 24">
            <a:extLst>
              <a:ext uri="{FF2B5EF4-FFF2-40B4-BE49-F238E27FC236}">
                <a16:creationId xmlns:a16="http://schemas.microsoft.com/office/drawing/2014/main" id="{87414D40-A0E3-1FAD-30EC-73F1C2966B71}"/>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26" name="Text Box 46">
            <a:extLst>
              <a:ext uri="{FF2B5EF4-FFF2-40B4-BE49-F238E27FC236}">
                <a16:creationId xmlns:a16="http://schemas.microsoft.com/office/drawing/2014/main" id="{A8F21E08-E905-5AD8-5AFE-BE31DFC24AED}"/>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27" name="Text Box 46">
            <a:extLst>
              <a:ext uri="{FF2B5EF4-FFF2-40B4-BE49-F238E27FC236}">
                <a16:creationId xmlns:a16="http://schemas.microsoft.com/office/drawing/2014/main" id="{34301A8B-BBBB-1B0B-A6CE-6684CF687D2C}"/>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28" name="Text Box 39">
            <a:extLst>
              <a:ext uri="{FF2B5EF4-FFF2-40B4-BE49-F238E27FC236}">
                <a16:creationId xmlns:a16="http://schemas.microsoft.com/office/drawing/2014/main" id="{8882DEF0-15F1-5D03-DADE-4E3E0C8CB50D}"/>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29" name="Rectangle 28">
            <a:extLst>
              <a:ext uri="{FF2B5EF4-FFF2-40B4-BE49-F238E27FC236}">
                <a16:creationId xmlns:a16="http://schemas.microsoft.com/office/drawing/2014/main" id="{25E4BF95-6D6E-5154-1ED3-FCD3AF9D89E1}"/>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30" name="Text Box 39">
            <a:extLst>
              <a:ext uri="{FF2B5EF4-FFF2-40B4-BE49-F238E27FC236}">
                <a16:creationId xmlns:a16="http://schemas.microsoft.com/office/drawing/2014/main" id="{AC552057-AA80-3E23-A13E-629337F11148}"/>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31" name="Text Box 46">
            <a:extLst>
              <a:ext uri="{FF2B5EF4-FFF2-40B4-BE49-F238E27FC236}">
                <a16:creationId xmlns:a16="http://schemas.microsoft.com/office/drawing/2014/main" id="{C372B77D-0B64-D343-21B4-000F75655FE8}"/>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32" name="Text Box 46">
            <a:extLst>
              <a:ext uri="{FF2B5EF4-FFF2-40B4-BE49-F238E27FC236}">
                <a16:creationId xmlns:a16="http://schemas.microsoft.com/office/drawing/2014/main" id="{552C1759-10B3-58DF-D946-6FA6427A4F88}"/>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11199</xdr:colOff>
      <xdr:row>6</xdr:row>
      <xdr:rowOff>0</xdr:rowOff>
    </xdr:from>
    <xdr:to>
      <xdr:col>6</xdr:col>
      <xdr:colOff>284147</xdr:colOff>
      <xdr:row>13</xdr:row>
      <xdr:rowOff>97155</xdr:rowOff>
    </xdr:to>
    <xdr:pic>
      <xdr:nvPicPr>
        <xdr:cNvPr id="2" name="Picture 1">
          <a:extLst>
            <a:ext uri="{FF2B5EF4-FFF2-40B4-BE49-F238E27FC236}">
              <a16:creationId xmlns:a16="http://schemas.microsoft.com/office/drawing/2014/main" id="{8DC06DC1-4678-44BC-A444-7C817EAF9E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4613679" y="1524000"/>
          <a:ext cx="1214018" cy="1083945"/>
        </a:xfrm>
        <a:prstGeom prst="rect">
          <a:avLst/>
        </a:prstGeom>
      </xdr:spPr>
    </xdr:pic>
    <xdr:clientData/>
  </xdr:twoCellAnchor>
  <xdr:oneCellAnchor>
    <xdr:from>
      <xdr:col>0</xdr:col>
      <xdr:colOff>0</xdr:colOff>
      <xdr:row>44</xdr:row>
      <xdr:rowOff>0</xdr:rowOff>
    </xdr:from>
    <xdr:ext cx="65" cy="172227"/>
    <xdr:sp macro="" textlink="">
      <xdr:nvSpPr>
        <xdr:cNvPr id="3" name="TextBox 2">
          <a:extLst>
            <a:ext uri="{FF2B5EF4-FFF2-40B4-BE49-F238E27FC236}">
              <a16:creationId xmlns:a16="http://schemas.microsoft.com/office/drawing/2014/main" id="{67FEF960-F9BE-4A7D-8525-73D1968451D0}"/>
            </a:ext>
          </a:extLst>
        </xdr:cNvPr>
        <xdr:cNvSpPr txBox="1"/>
      </xdr:nvSpPr>
      <xdr:spPr>
        <a:xfrm>
          <a:off x="0" y="7219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AU" sz="1100"/>
        </a:p>
      </xdr:txBody>
    </xdr:sp>
    <xdr:clientData/>
  </xdr:oneCellAnchor>
  <xdr:oneCellAnchor>
    <xdr:from>
      <xdr:col>0</xdr:col>
      <xdr:colOff>19050</xdr:colOff>
      <xdr:row>60</xdr:row>
      <xdr:rowOff>5715</xdr:rowOff>
    </xdr:from>
    <xdr:ext cx="999697" cy="346570"/>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89340C9-897D-4EDD-9CFB-EA27981AFFF4}"/>
                </a:ext>
              </a:extLst>
            </xdr:cNvPr>
            <xdr:cNvSpPr txBox="1"/>
          </xdr:nvSpPr>
          <xdr:spPr>
            <a:xfrm>
              <a:off x="15240" y="9970770"/>
              <a:ext cx="999697" cy="346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𝑘</m:t>
                    </m:r>
                    <m:r>
                      <a:rPr lang="en-GB" sz="1100" b="0" i="1">
                        <a:latin typeface="Cambria Math" panose="02040503050406030204" pitchFamily="18" charset="0"/>
                      </a:rPr>
                      <m:t>= </m:t>
                    </m:r>
                    <m:f>
                      <m:fPr>
                        <m:ctrlPr>
                          <a:rPr lang="en-GB" sz="1100" b="0" i="1">
                            <a:latin typeface="Cambria Math" panose="02040503050406030204" pitchFamily="18" charset="0"/>
                          </a:rPr>
                        </m:ctrlPr>
                      </m:fPr>
                      <m:num>
                        <m:r>
                          <a:rPr lang="en-GB" sz="1100" b="0" i="1">
                            <a:latin typeface="Cambria Math" panose="02040503050406030204" pitchFamily="18" charset="0"/>
                          </a:rPr>
                          <m:t>𝑀</m:t>
                        </m:r>
                      </m:num>
                      <m:den>
                        <m:r>
                          <a:rPr lang="en-GB" sz="1100" b="0" i="1">
                            <a:latin typeface="Cambria Math" panose="02040503050406030204" pitchFamily="18" charset="0"/>
                          </a:rPr>
                          <m:t>𝑏</m:t>
                        </m:r>
                        <m:r>
                          <a:rPr lang="en-GB" sz="1100" b="0" i="1">
                            <a:latin typeface="Cambria Math" panose="02040503050406030204" pitchFamily="18" charset="0"/>
                          </a:rPr>
                          <m:t>∗</m:t>
                        </m:r>
                        <m:sSup>
                          <m:sSupPr>
                            <m:ctrlPr>
                              <a:rPr lang="en-GB" sz="1100" b="0" i="1">
                                <a:latin typeface="Cambria Math" panose="02040503050406030204" pitchFamily="18" charset="0"/>
                              </a:rPr>
                            </m:ctrlPr>
                          </m:sSupPr>
                          <m:e>
                            <m:r>
                              <a:rPr lang="en-GB" sz="1100" b="0" i="1">
                                <a:latin typeface="Cambria Math" panose="02040503050406030204" pitchFamily="18" charset="0"/>
                              </a:rPr>
                              <m:t>𝑑</m:t>
                            </m:r>
                          </m:e>
                          <m:sup>
                            <m:r>
                              <a:rPr lang="en-GB" sz="1100" b="0" i="1">
                                <a:latin typeface="Cambria Math" panose="02040503050406030204" pitchFamily="18" charset="0"/>
                              </a:rPr>
                              <m:t>2</m:t>
                            </m:r>
                          </m:sup>
                        </m:sSup>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𝑐𝑘</m:t>
                            </m:r>
                          </m:sub>
                        </m:sSub>
                      </m:den>
                    </m:f>
                  </m:oMath>
                </m:oMathPara>
              </a14:m>
              <a:endParaRPr lang="en-AU" sz="1100"/>
            </a:p>
          </xdr:txBody>
        </xdr:sp>
      </mc:Choice>
      <mc:Fallback xmlns="">
        <xdr:sp macro="" textlink="">
          <xdr:nvSpPr>
            <xdr:cNvPr id="4" name="TextBox 3">
              <a:extLst>
                <a:ext uri="{FF2B5EF4-FFF2-40B4-BE49-F238E27FC236}">
                  <a16:creationId xmlns:a16="http://schemas.microsoft.com/office/drawing/2014/main" id="{089340C9-897D-4EDD-9CFB-EA27981AFFF4}"/>
                </a:ext>
              </a:extLst>
            </xdr:cNvPr>
            <xdr:cNvSpPr txBox="1"/>
          </xdr:nvSpPr>
          <xdr:spPr>
            <a:xfrm>
              <a:off x="15240" y="9970770"/>
              <a:ext cx="999697" cy="3465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𝑘=  𝑀/(𝑏∗𝑑^2∗𝑓_𝑐𝑘 )</a:t>
              </a:r>
              <a:endParaRPr lang="en-AU" sz="1100"/>
            </a:p>
          </xdr:txBody>
        </xdr:sp>
      </mc:Fallback>
    </mc:AlternateContent>
    <xdr:clientData/>
  </xdr:oneCellAnchor>
  <xdr:oneCellAnchor>
    <xdr:from>
      <xdr:col>0</xdr:col>
      <xdr:colOff>0</xdr:colOff>
      <xdr:row>66</xdr:row>
      <xdr:rowOff>0</xdr:rowOff>
    </xdr:from>
    <xdr:ext cx="987258" cy="364395"/>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1F014FC9-1896-4962-B8FF-3B78C8CFBE32}"/>
                </a:ext>
              </a:extLst>
            </xdr:cNvPr>
            <xdr:cNvSpPr txBox="1"/>
          </xdr:nvSpPr>
          <xdr:spPr>
            <a:xfrm>
              <a:off x="0" y="11229975"/>
              <a:ext cx="987258" cy="364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𝐴</m:t>
                        </m:r>
                      </m:e>
                      <m:sub>
                        <m:r>
                          <a:rPr lang="en-GB" sz="1100" b="0" i="1">
                            <a:latin typeface="Cambria Math" panose="02040503050406030204" pitchFamily="18" charset="0"/>
                          </a:rPr>
                          <m:t>𝑠</m:t>
                        </m:r>
                      </m:sub>
                    </m:sSub>
                    <m:r>
                      <a:rPr lang="en-GB" sz="1100" b="0" i="1">
                        <a:latin typeface="Cambria Math" panose="02040503050406030204" pitchFamily="18" charset="0"/>
                      </a:rPr>
                      <m:t>=</m:t>
                    </m:r>
                    <m:f>
                      <m:fPr>
                        <m:ctrlPr>
                          <a:rPr lang="en-AU" sz="1100" i="1">
                            <a:latin typeface="Cambria Math" panose="02040503050406030204" pitchFamily="18" charset="0"/>
                          </a:rPr>
                        </m:ctrlPr>
                      </m:fPr>
                      <m:num>
                        <m:r>
                          <a:rPr lang="en-GB" sz="1100" b="0" i="1">
                            <a:latin typeface="Cambria Math" panose="02040503050406030204" pitchFamily="18" charset="0"/>
                          </a:rPr>
                          <m:t>𝑀</m:t>
                        </m:r>
                      </m:num>
                      <m:den>
                        <m:r>
                          <m:rPr>
                            <m:sty m:val="p"/>
                          </m:rPr>
                          <a:rPr lang="el-GR" sz="1100" i="1">
                            <a:latin typeface="Cambria Math" panose="02040503050406030204" pitchFamily="18" charset="0"/>
                          </a:rPr>
                          <m:t>γ</m:t>
                        </m:r>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𝑠𝑦</m:t>
                            </m:r>
                          </m:sub>
                        </m:sSub>
                        <m:r>
                          <a:rPr lang="en-GB" sz="1100" b="0" i="1">
                            <a:latin typeface="Cambria Math" panose="02040503050406030204" pitchFamily="18" charset="0"/>
                          </a:rPr>
                          <m:t>∗</m:t>
                        </m:r>
                        <m:r>
                          <a:rPr lang="en-GB" sz="1100" b="0" i="1">
                            <a:latin typeface="Cambria Math" panose="02040503050406030204" pitchFamily="18" charset="0"/>
                          </a:rPr>
                          <m:t>𝑍</m:t>
                        </m:r>
                      </m:den>
                    </m:f>
                  </m:oMath>
                </m:oMathPara>
              </a14:m>
              <a:endParaRPr lang="en-AU" sz="1100"/>
            </a:p>
          </xdr:txBody>
        </xdr:sp>
      </mc:Choice>
      <mc:Fallback xmlns="">
        <xdr:sp macro="" textlink="">
          <xdr:nvSpPr>
            <xdr:cNvPr id="5" name="TextBox 4">
              <a:extLst>
                <a:ext uri="{FF2B5EF4-FFF2-40B4-BE49-F238E27FC236}">
                  <a16:creationId xmlns:a16="http://schemas.microsoft.com/office/drawing/2014/main" id="{1F014FC9-1896-4962-B8FF-3B78C8CFBE32}"/>
                </a:ext>
              </a:extLst>
            </xdr:cNvPr>
            <xdr:cNvSpPr txBox="1"/>
          </xdr:nvSpPr>
          <xdr:spPr>
            <a:xfrm>
              <a:off x="0" y="11229975"/>
              <a:ext cx="987258" cy="3643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𝐴</a:t>
              </a:r>
              <a:r>
                <a:rPr lang="en-AU" sz="1100" b="0" i="0">
                  <a:latin typeface="Cambria Math" panose="02040503050406030204" pitchFamily="18" charset="0"/>
                </a:rPr>
                <a:t>_</a:t>
              </a:r>
              <a:r>
                <a:rPr lang="en-GB" sz="1100" b="0" i="0">
                  <a:latin typeface="Cambria Math" panose="02040503050406030204" pitchFamily="18" charset="0"/>
                </a:rPr>
                <a:t>𝑠=𝑀</a:t>
              </a:r>
              <a:r>
                <a:rPr lang="en-AU" sz="1100" b="0" i="0">
                  <a:latin typeface="Cambria Math" panose="02040503050406030204" pitchFamily="18" charset="0"/>
                </a:rPr>
                <a:t>/(</a:t>
              </a:r>
              <a:r>
                <a:rPr lang="el-GR" sz="1100" i="0">
                  <a:latin typeface="Cambria Math" panose="02040503050406030204" pitchFamily="18" charset="0"/>
                </a:rPr>
                <a:t>γ</a:t>
              </a:r>
              <a:r>
                <a:rPr lang="en-GB" sz="1100" b="0" i="0">
                  <a:latin typeface="Cambria Math" panose="02040503050406030204" pitchFamily="18" charset="0"/>
                </a:rPr>
                <a:t>∗ 𝑓_𝑠𝑦∗𝑍</a:t>
              </a:r>
              <a:r>
                <a:rPr lang="en-AU" sz="1100" b="0" i="0">
                  <a:latin typeface="Cambria Math" panose="02040503050406030204" pitchFamily="18" charset="0"/>
                </a:rPr>
                <a:t>)</a:t>
              </a:r>
              <a:endParaRPr lang="en-AU" sz="1100"/>
            </a:p>
          </xdr:txBody>
        </xdr:sp>
      </mc:Fallback>
    </mc:AlternateContent>
    <xdr:clientData/>
  </xdr:oneCellAnchor>
  <xdr:oneCellAnchor>
    <xdr:from>
      <xdr:col>0</xdr:col>
      <xdr:colOff>0</xdr:colOff>
      <xdr:row>68</xdr:row>
      <xdr:rowOff>0</xdr:rowOff>
    </xdr:from>
    <xdr:ext cx="1031757" cy="351058"/>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3A4D0C8B-CEC4-487F-A2C2-B72CEABF1237}"/>
                </a:ext>
              </a:extLst>
            </xdr:cNvPr>
            <xdr:cNvSpPr txBox="1"/>
          </xdr:nvSpPr>
          <xdr:spPr>
            <a:xfrm>
              <a:off x="0" y="11734800"/>
              <a:ext cx="1031757" cy="35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AU" sz="1100" i="1">
                            <a:latin typeface="Cambria Math" panose="02040503050406030204" pitchFamily="18" charset="0"/>
                          </a:rPr>
                        </m:ctrlPr>
                      </m:fPr>
                      <m:num>
                        <m:r>
                          <m:rPr>
                            <m:sty m:val="p"/>
                          </m:rPr>
                          <a:rPr lang="el-GR" sz="1100" i="1">
                            <a:latin typeface="Cambria Math" panose="02040503050406030204" pitchFamily="18" charset="0"/>
                          </a:rPr>
                          <m:t>π</m:t>
                        </m:r>
                      </m:num>
                      <m:den>
                        <m:r>
                          <a:rPr lang="en-GB" sz="1100" b="0" i="1">
                            <a:latin typeface="Cambria Math" panose="02040503050406030204" pitchFamily="18" charset="0"/>
                          </a:rPr>
                          <m:t>4</m:t>
                        </m:r>
                      </m:den>
                    </m:f>
                    <m:r>
                      <a:rPr lang="en-GB" sz="1100" b="0" i="1">
                        <a:latin typeface="Cambria Math" panose="02040503050406030204" pitchFamily="18" charset="0"/>
                      </a:rPr>
                      <m:t>∗</m:t>
                    </m:r>
                    <m:sSup>
                      <m:sSupPr>
                        <m:ctrlPr>
                          <a:rPr lang="en-GB" sz="1100" b="0" i="1">
                            <a:latin typeface="Cambria Math" panose="02040503050406030204" pitchFamily="18" charset="0"/>
                          </a:rPr>
                        </m:ctrlPr>
                      </m:sSupPr>
                      <m:e>
                        <m:r>
                          <a:rPr lang="en-GB" sz="1100" b="0" i="1">
                            <a:latin typeface="Cambria Math" panose="02040503050406030204" pitchFamily="18" charset="0"/>
                          </a:rPr>
                          <m:t>𝑑</m:t>
                        </m:r>
                      </m:e>
                      <m:sup>
                        <m:r>
                          <a:rPr lang="en-GB" sz="1100" b="0" i="1">
                            <a:latin typeface="Cambria Math" panose="02040503050406030204" pitchFamily="18" charset="0"/>
                          </a:rPr>
                          <m:t>2</m:t>
                        </m:r>
                      </m:sup>
                    </m:sSup>
                    <m:r>
                      <a:rPr lang="en-GB" sz="1100" b="0" i="1">
                        <a:latin typeface="Cambria Math" panose="02040503050406030204" pitchFamily="18" charset="0"/>
                      </a:rPr>
                      <m:t>∗</m:t>
                    </m:r>
                    <m:f>
                      <m:fPr>
                        <m:ctrlPr>
                          <a:rPr lang="en-GB" sz="1100" b="0" i="1">
                            <a:latin typeface="Cambria Math" panose="02040503050406030204" pitchFamily="18" charset="0"/>
                          </a:rPr>
                        </m:ctrlPr>
                      </m:fPr>
                      <m:num>
                        <m:r>
                          <a:rPr lang="en-GB" sz="1100" b="0" i="1">
                            <a:latin typeface="Cambria Math" panose="02040503050406030204" pitchFamily="18" charset="0"/>
                          </a:rPr>
                          <m:t>𝑙𝑒𝑛𝑔𝑡h</m:t>
                        </m:r>
                      </m:num>
                      <m:den>
                        <m:r>
                          <a:rPr lang="en-GB" sz="1100" b="0" i="1">
                            <a:latin typeface="Cambria Math" panose="02040503050406030204" pitchFamily="18" charset="0"/>
                          </a:rPr>
                          <m:t>𝑠𝑝𝑎𝑐𝑖𝑛𝑔</m:t>
                        </m:r>
                      </m:den>
                    </m:f>
                  </m:oMath>
                </m:oMathPara>
              </a14:m>
              <a:endParaRPr lang="en-AU" sz="1100"/>
            </a:p>
          </xdr:txBody>
        </xdr:sp>
      </mc:Choice>
      <mc:Fallback xmlns="">
        <xdr:sp macro="" textlink="">
          <xdr:nvSpPr>
            <xdr:cNvPr id="6" name="TextBox 5">
              <a:extLst>
                <a:ext uri="{FF2B5EF4-FFF2-40B4-BE49-F238E27FC236}">
                  <a16:creationId xmlns:a16="http://schemas.microsoft.com/office/drawing/2014/main" id="{3A4D0C8B-CEC4-487F-A2C2-B72CEABF1237}"/>
                </a:ext>
              </a:extLst>
            </xdr:cNvPr>
            <xdr:cNvSpPr txBox="1"/>
          </xdr:nvSpPr>
          <xdr:spPr>
            <a:xfrm>
              <a:off x="0" y="11734800"/>
              <a:ext cx="1031757" cy="351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l-GR" sz="1100" i="0">
                  <a:latin typeface="Cambria Math" panose="02040503050406030204" pitchFamily="18" charset="0"/>
                </a:rPr>
                <a:t>π</a:t>
              </a:r>
              <a:r>
                <a:rPr lang="en-AU" sz="1100" i="0">
                  <a:latin typeface="Cambria Math" panose="02040503050406030204" pitchFamily="18" charset="0"/>
                </a:rPr>
                <a:t>/</a:t>
              </a:r>
              <a:r>
                <a:rPr lang="en-GB" sz="1100" b="0" i="0">
                  <a:latin typeface="Cambria Math" panose="02040503050406030204" pitchFamily="18" charset="0"/>
                </a:rPr>
                <a:t>4∗𝑑^2∗𝑙𝑒𝑛𝑔𝑡ℎ/𝑠𝑝𝑎𝑐𝑖𝑛𝑔</a:t>
              </a:r>
              <a:endParaRPr lang="en-AU" sz="1100"/>
            </a:p>
          </xdr:txBody>
        </xdr:sp>
      </mc:Fallback>
    </mc:AlternateContent>
    <xdr:clientData/>
  </xdr:oneCellAnchor>
  <xdr:oneCellAnchor>
    <xdr:from>
      <xdr:col>0</xdr:col>
      <xdr:colOff>0</xdr:colOff>
      <xdr:row>78</xdr:row>
      <xdr:rowOff>0</xdr:rowOff>
    </xdr:from>
    <xdr:ext cx="1620444" cy="1831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6031C807-22FB-4A41-BB89-7B01456EC795}"/>
                </a:ext>
              </a:extLst>
            </xdr:cNvPr>
            <xdr:cNvSpPr txBox="1"/>
          </xdr:nvSpPr>
          <xdr:spPr>
            <a:xfrm>
              <a:off x="0" y="13506450"/>
              <a:ext cx="162044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𝐶𝑐</m:t>
                    </m:r>
                    <m:r>
                      <a:rPr lang="en-GB" sz="1100" b="0" i="1">
                        <a:latin typeface="Cambria Math" panose="02040503050406030204" pitchFamily="18" charset="0"/>
                      </a:rPr>
                      <m:t>= </m:t>
                    </m:r>
                    <m:r>
                      <m:rPr>
                        <m:sty m:val="p"/>
                      </m:rPr>
                      <a:rPr lang="el-GR" sz="1100" b="0" i="1">
                        <a:latin typeface="Cambria Math" panose="02040503050406030204" pitchFamily="18" charset="0"/>
                      </a:rPr>
                      <m:t>α</m:t>
                    </m:r>
                    <m:r>
                      <a:rPr lang="en-GB" sz="1100" b="0" i="1">
                        <a:latin typeface="Cambria Math" panose="02040503050406030204" pitchFamily="18" charset="0"/>
                      </a:rPr>
                      <m:t>∗</m:t>
                    </m:r>
                    <m:r>
                      <m:rPr>
                        <m:sty m:val="p"/>
                      </m:rPr>
                      <a:rPr lang="el-GR" sz="1100" b="0" i="1">
                        <a:latin typeface="Cambria Math" panose="02040503050406030204" pitchFamily="18" charset="0"/>
                      </a:rPr>
                      <m:t>γ</m:t>
                    </m:r>
                    <m:r>
                      <a:rPr lang="en-GB" sz="1100" b="0" i="1">
                        <a:latin typeface="Cambria Math" panose="02040503050406030204" pitchFamily="18" charset="0"/>
                      </a:rPr>
                      <m:t>∗</m:t>
                    </m:r>
                    <m:sSubSup>
                      <m:sSubSupPr>
                        <m:ctrlPr>
                          <a:rPr lang="en-GB" sz="1100" b="0" i="1">
                            <a:latin typeface="Cambria Math" panose="02040503050406030204" pitchFamily="18" charset="0"/>
                          </a:rPr>
                        </m:ctrlPr>
                      </m:sSubSupPr>
                      <m:e>
                        <m:r>
                          <a:rPr lang="en-GB" sz="1100" b="0" i="1">
                            <a:latin typeface="Cambria Math" panose="02040503050406030204" pitchFamily="18" charset="0"/>
                          </a:rPr>
                          <m:t>𝑓</m:t>
                        </m:r>
                      </m:e>
                      <m:sub>
                        <m:r>
                          <a:rPr lang="en-GB" sz="1100" b="0" i="1">
                            <a:latin typeface="Cambria Math" panose="02040503050406030204" pitchFamily="18" charset="0"/>
                          </a:rPr>
                          <m:t>𝑐</m:t>
                        </m:r>
                      </m:sub>
                      <m:sup>
                        <m:r>
                          <a:rPr lang="en-GB" sz="1100" b="0" i="1">
                            <a:latin typeface="Cambria Math" panose="02040503050406030204" pitchFamily="18" charset="0"/>
                          </a:rPr>
                          <m:t>′</m:t>
                        </m:r>
                      </m:sup>
                    </m:sSubSup>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𝑏</m:t>
                        </m:r>
                      </m:e>
                      <m:sub>
                        <m:r>
                          <a:rPr lang="en-GB" sz="1100" b="0" i="1">
                            <a:latin typeface="Cambria Math" panose="02040503050406030204" pitchFamily="18" charset="0"/>
                          </a:rPr>
                          <m:t>𝑒𝑓𝑓</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oMath>
                </m:oMathPara>
              </a14:m>
              <a:endParaRPr lang="en-AU" sz="1100"/>
            </a:p>
          </xdr:txBody>
        </xdr:sp>
      </mc:Choice>
      <mc:Fallback xmlns="">
        <xdr:sp macro="" textlink="">
          <xdr:nvSpPr>
            <xdr:cNvPr id="7" name="TextBox 6">
              <a:extLst>
                <a:ext uri="{FF2B5EF4-FFF2-40B4-BE49-F238E27FC236}">
                  <a16:creationId xmlns:a16="http://schemas.microsoft.com/office/drawing/2014/main" id="{6031C807-22FB-4A41-BB89-7B01456EC795}"/>
                </a:ext>
              </a:extLst>
            </xdr:cNvPr>
            <xdr:cNvSpPr txBox="1"/>
          </xdr:nvSpPr>
          <xdr:spPr>
            <a:xfrm>
              <a:off x="0" y="13506450"/>
              <a:ext cx="162044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𝐶𝑐= </a:t>
              </a:r>
              <a:r>
                <a:rPr lang="el-GR" sz="1100" b="0" i="0">
                  <a:latin typeface="Cambria Math" panose="02040503050406030204" pitchFamily="18" charset="0"/>
                </a:rPr>
                <a:t>α</a:t>
              </a:r>
              <a:r>
                <a:rPr lang="en-GB" sz="1100" b="0" i="0">
                  <a:latin typeface="Cambria Math" panose="02040503050406030204" pitchFamily="18" charset="0"/>
                </a:rPr>
                <a:t>∗</a:t>
              </a:r>
              <a:r>
                <a:rPr lang="el-GR" sz="1100" b="0" i="0">
                  <a:latin typeface="Cambria Math" panose="02040503050406030204" pitchFamily="18" charset="0"/>
                </a:rPr>
                <a:t>γ</a:t>
              </a:r>
              <a:r>
                <a:rPr lang="en-GB" sz="1100" b="0" i="0">
                  <a:latin typeface="Cambria Math" panose="02040503050406030204" pitchFamily="18" charset="0"/>
                </a:rPr>
                <a:t>∗𝑓_𝑐^′∗𝑏_𝑒𝑓𝑓∗𝑑_𝑛</a:t>
              </a:r>
              <a:endParaRPr lang="en-AU" sz="1100"/>
            </a:p>
          </xdr:txBody>
        </xdr:sp>
      </mc:Fallback>
    </mc:AlternateContent>
    <xdr:clientData/>
  </xdr:oneCellAnchor>
  <xdr:oneCellAnchor>
    <xdr:from>
      <xdr:col>0</xdr:col>
      <xdr:colOff>28575</xdr:colOff>
      <xdr:row>79</xdr:row>
      <xdr:rowOff>28575</xdr:rowOff>
    </xdr:from>
    <xdr:ext cx="886974" cy="182935"/>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2281668F-AA49-4754-9F9E-97D0481AD591}"/>
                </a:ext>
              </a:extLst>
            </xdr:cNvPr>
            <xdr:cNvSpPr txBox="1"/>
          </xdr:nvSpPr>
          <xdr:spPr>
            <a:xfrm>
              <a:off x="26670" y="13742670"/>
              <a:ext cx="886974"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latin typeface="Cambria Math" panose="02040503050406030204" pitchFamily="18" charset="0"/>
                      </a:rPr>
                      <m:t>𝑇𝑡</m:t>
                    </m:r>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𝑓</m:t>
                        </m:r>
                      </m:e>
                      <m:sub>
                        <m:r>
                          <a:rPr lang="en-GB" sz="1100" b="0" i="1">
                            <a:latin typeface="Cambria Math" panose="02040503050406030204" pitchFamily="18" charset="0"/>
                          </a:rPr>
                          <m:t>𝑠𝑦</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𝐴</m:t>
                        </m:r>
                      </m:e>
                      <m:sub>
                        <m:r>
                          <a:rPr lang="en-GB" sz="1100" b="0" i="1">
                            <a:latin typeface="Cambria Math" panose="02040503050406030204" pitchFamily="18" charset="0"/>
                          </a:rPr>
                          <m:t>𝑠𝑡</m:t>
                        </m:r>
                      </m:sub>
                    </m:sSub>
                  </m:oMath>
                </m:oMathPara>
              </a14:m>
              <a:endParaRPr lang="en-AU" sz="1100"/>
            </a:p>
          </xdr:txBody>
        </xdr:sp>
      </mc:Choice>
      <mc:Fallback xmlns="">
        <xdr:sp macro="" textlink="">
          <xdr:nvSpPr>
            <xdr:cNvPr id="8" name="TextBox 7">
              <a:extLst>
                <a:ext uri="{FF2B5EF4-FFF2-40B4-BE49-F238E27FC236}">
                  <a16:creationId xmlns:a16="http://schemas.microsoft.com/office/drawing/2014/main" id="{2281668F-AA49-4754-9F9E-97D0481AD591}"/>
                </a:ext>
              </a:extLst>
            </xdr:cNvPr>
            <xdr:cNvSpPr txBox="1"/>
          </xdr:nvSpPr>
          <xdr:spPr>
            <a:xfrm>
              <a:off x="26670" y="13742670"/>
              <a:ext cx="886974"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𝑇𝑡= 𝑓_𝑠𝑦∗𝐴_𝑠𝑡</a:t>
              </a:r>
              <a:endParaRPr lang="en-AU" sz="1100"/>
            </a:p>
          </xdr:txBody>
        </xdr:sp>
      </mc:Fallback>
    </mc:AlternateContent>
    <xdr:clientData/>
  </xdr:oneCellAnchor>
  <xdr:oneCellAnchor>
    <xdr:from>
      <xdr:col>0</xdr:col>
      <xdr:colOff>0</xdr:colOff>
      <xdr:row>80</xdr:row>
      <xdr:rowOff>0</xdr:rowOff>
    </xdr:from>
    <xdr:ext cx="1982209" cy="408189"/>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FB563C2-1613-4F4D-B3D0-6F2ADB532BAA}"/>
                </a:ext>
              </a:extLst>
            </xdr:cNvPr>
            <xdr:cNvSpPr txBox="1"/>
          </xdr:nvSpPr>
          <xdr:spPr>
            <a:xfrm>
              <a:off x="0" y="13954125"/>
              <a:ext cx="1982209" cy="408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𝐶</m:t>
                        </m:r>
                      </m:e>
                      <m:sub>
                        <m:r>
                          <a:rPr lang="en-GB" sz="1100" b="0" i="1">
                            <a:latin typeface="Cambria Math" panose="02040503050406030204" pitchFamily="18" charset="0"/>
                          </a:rPr>
                          <m:t>𝑐</m:t>
                        </m:r>
                      </m:sub>
                    </m:sSub>
                    <m:r>
                      <a:rPr lang="en-GB" sz="1100" b="0" i="1">
                        <a:latin typeface="Cambria Math" panose="02040503050406030204" pitchFamily="18" charset="0"/>
                      </a:rPr>
                      <m:t>=</m:t>
                    </m:r>
                    <m:sSub>
                      <m:sSubPr>
                        <m:ctrlPr>
                          <a:rPr lang="en-GB" sz="1100" b="0" i="1">
                            <a:latin typeface="Cambria Math" panose="02040503050406030204" pitchFamily="18" charset="0"/>
                          </a:rPr>
                        </m:ctrlPr>
                      </m:sSubPr>
                      <m:e>
                        <m:r>
                          <a:rPr lang="en-GB" sz="1100" b="0" i="1">
                            <a:latin typeface="Cambria Math" panose="02040503050406030204" pitchFamily="18" charset="0"/>
                          </a:rPr>
                          <m:t>𝑇</m:t>
                        </m:r>
                      </m:e>
                      <m:sub>
                        <m:r>
                          <a:rPr lang="en-GB" sz="1100" b="0" i="1">
                            <a:latin typeface="Cambria Math" panose="02040503050406030204" pitchFamily="18" charset="0"/>
                          </a:rPr>
                          <m:t>𝑡</m:t>
                        </m:r>
                      </m:sub>
                    </m:sSub>
                    <m:r>
                      <a:rPr lang="en-GB" sz="1100" b="0" i="1">
                        <a:latin typeface="Cambria Math" panose="02040503050406030204" pitchFamily="18" charset="0"/>
                      </a:rPr>
                      <m:t>→ </m:t>
                    </m:r>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r>
                      <a:rPr lang="en-GB" sz="1100" b="0" i="1">
                        <a:latin typeface="Cambria Math" panose="02040503050406030204" pitchFamily="18" charset="0"/>
                      </a:rPr>
                      <m:t>= </m:t>
                    </m:r>
                    <m:f>
                      <m:fPr>
                        <m:ctrlPr>
                          <a:rPr lang="en-GB" sz="1100" b="0" i="1">
                            <a:latin typeface="Cambria Math" panose="02040503050406030204" pitchFamily="18" charset="0"/>
                          </a:rPr>
                        </m:ctrlPr>
                      </m:fPr>
                      <m:num>
                        <m:r>
                          <m:rPr>
                            <m:sty m:val="p"/>
                          </m:rPr>
                          <a:rPr lang="el-GR" sz="1100" b="0" i="1">
                            <a:solidFill>
                              <a:schemeClr val="tx1"/>
                            </a:solidFill>
                            <a:effectLst/>
                            <a:latin typeface="Cambria Math" panose="02040503050406030204" pitchFamily="18" charset="0"/>
                            <a:ea typeface="+mn-ea"/>
                            <a:cs typeface="+mn-cs"/>
                          </a:rPr>
                          <m:t>α</m:t>
                        </m:r>
                        <m:r>
                          <a:rPr lang="en-GB" sz="1100" b="0" i="1">
                            <a:solidFill>
                              <a:schemeClr val="tx1"/>
                            </a:solidFill>
                            <a:effectLst/>
                            <a:latin typeface="Cambria Math" panose="02040503050406030204" pitchFamily="18" charset="0"/>
                            <a:ea typeface="+mn-ea"/>
                            <a:cs typeface="+mn-cs"/>
                          </a:rPr>
                          <m:t>∗</m:t>
                        </m:r>
                        <m:r>
                          <m:rPr>
                            <m:sty m:val="p"/>
                          </m:rPr>
                          <a:rPr lang="el-GR" sz="1100" b="0" i="1">
                            <a:solidFill>
                              <a:schemeClr val="tx1"/>
                            </a:solidFill>
                            <a:effectLst/>
                            <a:latin typeface="Cambria Math" panose="02040503050406030204" pitchFamily="18" charset="0"/>
                            <a:ea typeface="+mn-ea"/>
                            <a:cs typeface="+mn-cs"/>
                          </a:rPr>
                          <m:t>γ</m:t>
                        </m:r>
                        <m:r>
                          <a:rPr lang="en-GB" sz="1100" b="0" i="1">
                            <a:solidFill>
                              <a:schemeClr val="tx1"/>
                            </a:solidFill>
                            <a:effectLst/>
                            <a:latin typeface="Cambria Math" panose="02040503050406030204" pitchFamily="18" charset="0"/>
                            <a:ea typeface="+mn-ea"/>
                            <a:cs typeface="+mn-cs"/>
                          </a:rPr>
                          <m:t>∗</m:t>
                        </m:r>
                        <m:sSubSup>
                          <m:sSubSupPr>
                            <m:ctrlPr>
                              <a:rPr lang="en-GB" sz="1100" b="0" i="1">
                                <a:solidFill>
                                  <a:schemeClr val="tx1"/>
                                </a:solidFill>
                                <a:effectLst/>
                                <a:latin typeface="Cambria Math" panose="02040503050406030204" pitchFamily="18" charset="0"/>
                                <a:ea typeface="+mn-ea"/>
                                <a:cs typeface="+mn-cs"/>
                              </a:rPr>
                            </m:ctrlPr>
                          </m:sSubSupPr>
                          <m:e>
                            <m:r>
                              <a:rPr lang="en-GB" sz="1100" b="0" i="1">
                                <a:solidFill>
                                  <a:schemeClr val="tx1"/>
                                </a:solidFill>
                                <a:effectLst/>
                                <a:latin typeface="Cambria Math" panose="02040503050406030204" pitchFamily="18" charset="0"/>
                                <a:ea typeface="+mn-ea"/>
                                <a:cs typeface="+mn-cs"/>
                              </a:rPr>
                              <m:t>𝑓</m:t>
                            </m:r>
                          </m:e>
                          <m:sub>
                            <m:r>
                              <a:rPr lang="en-GB" sz="1100" b="0" i="1">
                                <a:solidFill>
                                  <a:schemeClr val="tx1"/>
                                </a:solidFill>
                                <a:effectLst/>
                                <a:latin typeface="Cambria Math" panose="02040503050406030204" pitchFamily="18" charset="0"/>
                                <a:ea typeface="+mn-ea"/>
                                <a:cs typeface="+mn-cs"/>
                              </a:rPr>
                              <m:t>𝑐</m:t>
                            </m:r>
                          </m:sub>
                          <m:sup>
                            <m:r>
                              <a:rPr lang="en-GB" sz="1100" b="0" i="1">
                                <a:solidFill>
                                  <a:schemeClr val="tx1"/>
                                </a:solidFill>
                                <a:effectLst/>
                                <a:latin typeface="Cambria Math" panose="02040503050406030204" pitchFamily="18" charset="0"/>
                                <a:ea typeface="+mn-ea"/>
                                <a:cs typeface="+mn-cs"/>
                              </a:rPr>
                              <m:t>′</m:t>
                            </m:r>
                          </m:sup>
                        </m:sSubSup>
                        <m:r>
                          <a:rPr lang="en-GB" sz="1100" b="0" i="1">
                            <a:solidFill>
                              <a:schemeClr val="tx1"/>
                            </a:solidFill>
                            <a:effectLst/>
                            <a:latin typeface="Cambria Math" panose="02040503050406030204" pitchFamily="18" charset="0"/>
                            <a:ea typeface="+mn-ea"/>
                            <a:cs typeface="+mn-cs"/>
                          </a:rPr>
                          <m:t>∗</m:t>
                        </m:r>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𝑏</m:t>
                            </m:r>
                          </m:e>
                          <m:sub>
                            <m:r>
                              <a:rPr lang="en-GB" sz="1100" b="0" i="1">
                                <a:solidFill>
                                  <a:schemeClr val="tx1"/>
                                </a:solidFill>
                                <a:effectLst/>
                                <a:latin typeface="Cambria Math" panose="02040503050406030204" pitchFamily="18" charset="0"/>
                                <a:ea typeface="+mn-ea"/>
                                <a:cs typeface="+mn-cs"/>
                              </a:rPr>
                              <m:t>𝑒𝑓𝑓</m:t>
                            </m:r>
                          </m:sub>
                        </m:sSub>
                      </m:num>
                      <m:den>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𝑓</m:t>
                            </m:r>
                          </m:e>
                          <m:sub>
                            <m:r>
                              <a:rPr lang="en-GB" sz="1100" b="0" i="1">
                                <a:solidFill>
                                  <a:schemeClr val="tx1"/>
                                </a:solidFill>
                                <a:effectLst/>
                                <a:latin typeface="Cambria Math" panose="02040503050406030204" pitchFamily="18" charset="0"/>
                                <a:ea typeface="+mn-ea"/>
                                <a:cs typeface="+mn-cs"/>
                              </a:rPr>
                              <m:t>𝑠𝑦</m:t>
                            </m:r>
                          </m:sub>
                        </m:sSub>
                        <m:r>
                          <a:rPr lang="en-GB" sz="1100" b="0" i="1">
                            <a:solidFill>
                              <a:schemeClr val="tx1"/>
                            </a:solidFill>
                            <a:effectLst/>
                            <a:latin typeface="Cambria Math" panose="02040503050406030204" pitchFamily="18" charset="0"/>
                            <a:ea typeface="+mn-ea"/>
                            <a:cs typeface="+mn-cs"/>
                          </a:rPr>
                          <m:t>∗</m:t>
                        </m:r>
                        <m:sSub>
                          <m:sSubPr>
                            <m:ctrlPr>
                              <a:rPr lang="en-GB" sz="1100" b="0" i="1">
                                <a:solidFill>
                                  <a:schemeClr val="tx1"/>
                                </a:solidFill>
                                <a:effectLst/>
                                <a:latin typeface="Cambria Math" panose="02040503050406030204" pitchFamily="18" charset="0"/>
                                <a:ea typeface="+mn-ea"/>
                                <a:cs typeface="+mn-cs"/>
                              </a:rPr>
                            </m:ctrlPr>
                          </m:sSubPr>
                          <m:e>
                            <m:r>
                              <a:rPr lang="en-GB" sz="1100" b="0" i="1">
                                <a:solidFill>
                                  <a:schemeClr val="tx1"/>
                                </a:solidFill>
                                <a:effectLst/>
                                <a:latin typeface="Cambria Math" panose="02040503050406030204" pitchFamily="18" charset="0"/>
                                <a:ea typeface="+mn-ea"/>
                                <a:cs typeface="+mn-cs"/>
                              </a:rPr>
                              <m:t>𝐴</m:t>
                            </m:r>
                          </m:e>
                          <m:sub>
                            <m:r>
                              <a:rPr lang="en-GB" sz="1100" b="0" i="1">
                                <a:solidFill>
                                  <a:schemeClr val="tx1"/>
                                </a:solidFill>
                                <a:effectLst/>
                                <a:latin typeface="Cambria Math" panose="02040503050406030204" pitchFamily="18" charset="0"/>
                                <a:ea typeface="+mn-ea"/>
                                <a:cs typeface="+mn-cs"/>
                              </a:rPr>
                              <m:t>𝑠𝑡</m:t>
                            </m:r>
                          </m:sub>
                        </m:sSub>
                      </m:den>
                    </m:f>
                  </m:oMath>
                </m:oMathPara>
              </a14:m>
              <a:endParaRPr lang="en-AU" sz="1100"/>
            </a:p>
          </xdr:txBody>
        </xdr:sp>
      </mc:Choice>
      <mc:Fallback xmlns="">
        <xdr:sp macro="" textlink="">
          <xdr:nvSpPr>
            <xdr:cNvPr id="9" name="TextBox 8">
              <a:extLst>
                <a:ext uri="{FF2B5EF4-FFF2-40B4-BE49-F238E27FC236}">
                  <a16:creationId xmlns:a16="http://schemas.microsoft.com/office/drawing/2014/main" id="{BFB563C2-1613-4F4D-B3D0-6F2ADB532BAA}"/>
                </a:ext>
              </a:extLst>
            </xdr:cNvPr>
            <xdr:cNvSpPr txBox="1"/>
          </xdr:nvSpPr>
          <xdr:spPr>
            <a:xfrm>
              <a:off x="0" y="13954125"/>
              <a:ext cx="1982209" cy="408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𝐶</a:t>
              </a:r>
              <a:r>
                <a:rPr lang="en-AU" sz="1100" b="0" i="0">
                  <a:latin typeface="Cambria Math" panose="02040503050406030204" pitchFamily="18" charset="0"/>
                </a:rPr>
                <a:t>_</a:t>
              </a:r>
              <a:r>
                <a:rPr lang="en-GB" sz="1100" b="0" i="0">
                  <a:latin typeface="Cambria Math" panose="02040503050406030204" pitchFamily="18" charset="0"/>
                </a:rPr>
                <a:t>𝑐=𝑇_𝑡→ 𝑑_𝑛= </a:t>
              </a:r>
              <a:r>
                <a:rPr lang="el-GR" sz="1100" b="0" i="0">
                  <a:solidFill>
                    <a:schemeClr val="tx1"/>
                  </a:solidFill>
                  <a:effectLst/>
                  <a:latin typeface="Cambria Math" panose="02040503050406030204" pitchFamily="18" charset="0"/>
                  <a:ea typeface="+mn-ea"/>
                  <a:cs typeface="+mn-cs"/>
                </a:rPr>
                <a:t> </a:t>
              </a:r>
              <a:r>
                <a:rPr lang="en-GB" sz="1100" b="0" i="0">
                  <a:solidFill>
                    <a:schemeClr val="tx1"/>
                  </a:solidFill>
                  <a:effectLst/>
                  <a:latin typeface="Cambria Math" panose="02040503050406030204" pitchFamily="18" charset="0"/>
                  <a:ea typeface="+mn-ea"/>
                  <a:cs typeface="+mn-cs"/>
                </a:rPr>
                <a:t>(</a:t>
              </a:r>
              <a:r>
                <a:rPr lang="el-GR" sz="1100" b="0" i="0">
                  <a:solidFill>
                    <a:schemeClr val="tx1"/>
                  </a:solidFill>
                  <a:effectLst/>
                  <a:latin typeface="Cambria Math" panose="02040503050406030204" pitchFamily="18" charset="0"/>
                  <a:ea typeface="+mn-ea"/>
                  <a:cs typeface="+mn-cs"/>
                </a:rPr>
                <a:t>α</a:t>
              </a:r>
              <a:r>
                <a:rPr lang="en-GB" sz="1100" b="0" i="0">
                  <a:solidFill>
                    <a:schemeClr val="tx1"/>
                  </a:solidFill>
                  <a:effectLst/>
                  <a:latin typeface="Cambria Math" panose="02040503050406030204" pitchFamily="18" charset="0"/>
                  <a:ea typeface="+mn-ea"/>
                  <a:cs typeface="+mn-cs"/>
                </a:rPr>
                <a:t>∗</a:t>
              </a:r>
              <a:r>
                <a:rPr lang="el-GR" sz="1100" b="0" i="0">
                  <a:solidFill>
                    <a:schemeClr val="tx1"/>
                  </a:solidFill>
                  <a:effectLst/>
                  <a:latin typeface="Cambria Math" panose="02040503050406030204" pitchFamily="18" charset="0"/>
                  <a:ea typeface="+mn-ea"/>
                  <a:cs typeface="+mn-cs"/>
                </a:rPr>
                <a:t>γ</a:t>
              </a:r>
              <a:r>
                <a:rPr lang="en-GB" sz="1100" b="0" i="0">
                  <a:solidFill>
                    <a:schemeClr val="tx1"/>
                  </a:solidFill>
                  <a:effectLst/>
                  <a:latin typeface="Cambria Math" panose="02040503050406030204" pitchFamily="18" charset="0"/>
                  <a:ea typeface="+mn-ea"/>
                  <a:cs typeface="+mn-cs"/>
                </a:rPr>
                <a:t>∗𝑓_𝑐^′∗𝑏_𝑒𝑓𝑓)/(𝑓_𝑠𝑦∗𝐴_𝑠𝑡 )</a:t>
              </a:r>
              <a:endParaRPr lang="en-AU" sz="1100"/>
            </a:p>
          </xdr:txBody>
        </xdr:sp>
      </mc:Fallback>
    </mc:AlternateContent>
    <xdr:clientData/>
  </xdr:oneCellAnchor>
  <xdr:oneCellAnchor>
    <xdr:from>
      <xdr:col>0</xdr:col>
      <xdr:colOff>0</xdr:colOff>
      <xdr:row>81</xdr:row>
      <xdr:rowOff>0</xdr:rowOff>
    </xdr:from>
    <xdr:ext cx="594650" cy="320280"/>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CCEC53F7-EE11-4725-AFD5-8F9175727EB4}"/>
                </a:ext>
              </a:extLst>
            </xdr:cNvPr>
            <xdr:cNvSpPr txBox="1"/>
          </xdr:nvSpPr>
          <xdr:spPr>
            <a:xfrm>
              <a:off x="0" y="14439900"/>
              <a:ext cx="594650"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GB" sz="1100" b="0" i="1">
                            <a:latin typeface="Cambria Math" panose="02040503050406030204" pitchFamily="18" charset="0"/>
                          </a:rPr>
                          <m:t>𝐾</m:t>
                        </m:r>
                      </m:e>
                      <m:sub>
                        <m:r>
                          <a:rPr lang="en-GB" sz="1100" b="0" i="1">
                            <a:latin typeface="Cambria Math" panose="02040503050406030204" pitchFamily="18" charset="0"/>
                          </a:rPr>
                          <m:t>𝑢𝑜</m:t>
                        </m:r>
                      </m:sub>
                    </m:sSub>
                    <m:r>
                      <a:rPr lang="en-GB" sz="1100" b="0" i="1">
                        <a:latin typeface="Cambria Math" panose="02040503050406030204" pitchFamily="18" charset="0"/>
                      </a:rPr>
                      <m:t>=</m:t>
                    </m:r>
                    <m:f>
                      <m:fPr>
                        <m:ctrlPr>
                          <a:rPr lang="en-GB" sz="1100" b="0" i="1">
                            <a:latin typeface="Cambria Math" panose="02040503050406030204" pitchFamily="18" charset="0"/>
                          </a:rPr>
                        </m:ctrlPr>
                      </m:fPr>
                      <m:num>
                        <m:sSub>
                          <m:sSubPr>
                            <m:ctrlPr>
                              <a:rPr lang="en-GB" sz="1100" b="0" i="1">
                                <a:latin typeface="Cambria Math" panose="02040503050406030204" pitchFamily="18" charset="0"/>
                              </a:rPr>
                            </m:ctrlPr>
                          </m:sSubPr>
                          <m:e>
                            <m:r>
                              <a:rPr lang="en-GB" sz="1100" b="0" i="1">
                                <a:latin typeface="Cambria Math" panose="02040503050406030204" pitchFamily="18" charset="0"/>
                              </a:rPr>
                              <m:t>𝑑</m:t>
                            </m:r>
                          </m:e>
                          <m:sub>
                            <m:r>
                              <a:rPr lang="en-GB" sz="1100" b="0" i="1">
                                <a:latin typeface="Cambria Math" panose="02040503050406030204" pitchFamily="18" charset="0"/>
                              </a:rPr>
                              <m:t>𝑛</m:t>
                            </m:r>
                          </m:sub>
                        </m:sSub>
                      </m:num>
                      <m:den>
                        <m:r>
                          <a:rPr lang="en-GB" sz="1100" b="0" i="1">
                            <a:latin typeface="Cambria Math" panose="02040503050406030204" pitchFamily="18" charset="0"/>
                          </a:rPr>
                          <m:t>𝑑</m:t>
                        </m:r>
                      </m:den>
                    </m:f>
                  </m:oMath>
                </m:oMathPara>
              </a14:m>
              <a:endParaRPr lang="en-AU" sz="1100"/>
            </a:p>
          </xdr:txBody>
        </xdr:sp>
      </mc:Choice>
      <mc:Fallback xmlns="">
        <xdr:sp macro="" textlink="">
          <xdr:nvSpPr>
            <xdr:cNvPr id="10" name="TextBox 9">
              <a:extLst>
                <a:ext uri="{FF2B5EF4-FFF2-40B4-BE49-F238E27FC236}">
                  <a16:creationId xmlns:a16="http://schemas.microsoft.com/office/drawing/2014/main" id="{CCEC53F7-EE11-4725-AFD5-8F9175727EB4}"/>
                </a:ext>
              </a:extLst>
            </xdr:cNvPr>
            <xdr:cNvSpPr txBox="1"/>
          </xdr:nvSpPr>
          <xdr:spPr>
            <a:xfrm>
              <a:off x="0" y="14439900"/>
              <a:ext cx="594650" cy="3202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1100" b="0" i="0">
                  <a:latin typeface="Cambria Math" panose="02040503050406030204" pitchFamily="18" charset="0"/>
                </a:rPr>
                <a:t>𝐾</a:t>
              </a:r>
              <a:r>
                <a:rPr lang="en-AU" sz="1100" b="0" i="0">
                  <a:latin typeface="Cambria Math" panose="02040503050406030204" pitchFamily="18" charset="0"/>
                </a:rPr>
                <a:t>_</a:t>
              </a:r>
              <a:r>
                <a:rPr lang="en-GB" sz="1100" b="0" i="0">
                  <a:latin typeface="Cambria Math" panose="02040503050406030204" pitchFamily="18" charset="0"/>
                </a:rPr>
                <a:t>𝑢𝑜=𝑑_𝑛/𝑑</a:t>
              </a:r>
              <a:endParaRPr lang="en-AU" sz="1100"/>
            </a:p>
          </xdr:txBody>
        </xdr:sp>
      </mc:Fallback>
    </mc:AlternateContent>
    <xdr:clientData/>
  </xdr:oneCellAnchor>
  <xdr:oneCellAnchor>
    <xdr:from>
      <xdr:col>0</xdr:col>
      <xdr:colOff>0</xdr:colOff>
      <xdr:row>84</xdr:row>
      <xdr:rowOff>0</xdr:rowOff>
    </xdr:from>
    <xdr:ext cx="1745671" cy="415050"/>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42098262-A31C-4CFC-A96B-132AEF9FDA7B}"/>
                </a:ext>
              </a:extLst>
            </xdr:cNvPr>
            <xdr:cNvSpPr txBox="1"/>
          </xdr:nvSpPr>
          <xdr:spPr>
            <a:xfrm>
              <a:off x="0" y="15106650"/>
              <a:ext cx="1745671" cy="415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AU" sz="1100" i="1">
                      <a:latin typeface="Cambria Math" panose="02040503050406030204" pitchFamily="18" charset="0"/>
                      <a:ea typeface="Cambria Math" panose="02040503050406030204" pitchFamily="18" charset="0"/>
                    </a:rPr>
                    <m:t>∅</m:t>
                  </m:r>
                  <m:r>
                    <a:rPr lang="en-GB" sz="1100" b="0" i="1">
                      <a:latin typeface="Cambria Math" panose="02040503050406030204" pitchFamily="18" charset="0"/>
                      <a:ea typeface="Cambria Math" panose="02040503050406030204" pitchFamily="18" charset="0"/>
                    </a:rPr>
                    <m:t>∗</m:t>
                  </m:r>
                  <m:sSub>
                    <m:sSubPr>
                      <m:ctrlPr>
                        <a:rPr lang="en-GB" sz="1100" b="0" i="1">
                          <a:latin typeface="Cambria Math" panose="02040503050406030204" pitchFamily="18" charset="0"/>
                          <a:ea typeface="Cambria Math" panose="02040503050406030204" pitchFamily="18" charset="0"/>
                        </a:rPr>
                      </m:ctrlPr>
                    </m:sSubPr>
                    <m:e>
                      <m:r>
                        <a:rPr lang="en-GB" sz="1100" b="0" i="1">
                          <a:latin typeface="Cambria Math" panose="02040503050406030204" pitchFamily="18" charset="0"/>
                          <a:ea typeface="Cambria Math" panose="02040503050406030204" pitchFamily="18" charset="0"/>
                        </a:rPr>
                        <m:t>𝑀</m:t>
                      </m:r>
                    </m:e>
                    <m:sub>
                      <m:r>
                        <a:rPr lang="en-GB" sz="1100" b="0" i="1">
                          <a:latin typeface="Cambria Math" panose="02040503050406030204" pitchFamily="18" charset="0"/>
                          <a:ea typeface="Cambria Math" panose="02040503050406030204" pitchFamily="18" charset="0"/>
                        </a:rPr>
                        <m:t>𝑢𝑜</m:t>
                      </m:r>
                    </m:sub>
                  </m:sSub>
                  <m:r>
                    <a:rPr lang="en-GB" sz="1100" b="0" i="1">
                      <a:latin typeface="Cambria Math" panose="02040503050406030204" pitchFamily="18" charset="0"/>
                      <a:ea typeface="Cambria Math" panose="02040503050406030204" pitchFamily="18" charset="0"/>
                    </a:rPr>
                    <m:t>= ∅∗</m:t>
                  </m:r>
                  <m:r>
                    <a:rPr lang="en-GB" sz="1100" b="0" i="1">
                      <a:latin typeface="Cambria Math" panose="02040503050406030204" pitchFamily="18" charset="0"/>
                      <a:ea typeface="Cambria Math" panose="02040503050406030204" pitchFamily="18" charset="0"/>
                    </a:rPr>
                    <m:t>𝑇</m:t>
                  </m:r>
                  <m:r>
                    <a:rPr lang="en-GB" sz="1100" b="0" i="1">
                      <a:latin typeface="Cambria Math" panose="02040503050406030204" pitchFamily="18" charset="0"/>
                      <a:ea typeface="Cambria Math" panose="02040503050406030204" pitchFamily="18" charset="0"/>
                    </a:rPr>
                    <m:t> ∗(</m:t>
                  </m:r>
                  <m:r>
                    <a:rPr lang="en-GB" sz="1100" b="0" i="1">
                      <a:latin typeface="Cambria Math" panose="02040503050406030204" pitchFamily="18" charset="0"/>
                      <a:ea typeface="Cambria Math" panose="02040503050406030204" pitchFamily="18" charset="0"/>
                    </a:rPr>
                    <m:t>𝑑</m:t>
                  </m:r>
                  <m:r>
                    <a:rPr lang="en-GB" sz="1100" b="0" i="1">
                      <a:latin typeface="Cambria Math" panose="02040503050406030204" pitchFamily="18" charset="0"/>
                      <a:ea typeface="Cambria Math" panose="02040503050406030204" pitchFamily="18" charset="0"/>
                    </a:rPr>
                    <m:t>−</m:t>
                  </m:r>
                  <m:f>
                    <m:fPr>
                      <m:ctrlPr>
                        <a:rPr lang="en-GB" sz="1100" b="0" i="1">
                          <a:latin typeface="Cambria Math" panose="02040503050406030204" pitchFamily="18" charset="0"/>
                          <a:ea typeface="Cambria Math" panose="02040503050406030204" pitchFamily="18" charset="0"/>
                        </a:rPr>
                      </m:ctrlPr>
                    </m:fPr>
                    <m:num>
                      <m:r>
                        <m:rPr>
                          <m:sty m:val="p"/>
                        </m:rPr>
                        <a:rPr lang="el-GR" sz="1100" b="0" i="1">
                          <a:latin typeface="Cambria Math" panose="02040503050406030204" pitchFamily="18" charset="0"/>
                          <a:ea typeface="Cambria Math" panose="02040503050406030204" pitchFamily="18" charset="0"/>
                        </a:rPr>
                        <m:t>γ</m:t>
                      </m:r>
                      <m:r>
                        <a:rPr lang="en-GB" sz="1100" b="0" i="1">
                          <a:latin typeface="Cambria Math" panose="02040503050406030204" pitchFamily="18" charset="0"/>
                          <a:ea typeface="Cambria Math" panose="02040503050406030204" pitchFamily="18" charset="0"/>
                        </a:rPr>
                        <m:t>∗</m:t>
                      </m:r>
                      <m:sSub>
                        <m:sSubPr>
                          <m:ctrlPr>
                            <a:rPr lang="en-GB" sz="1100" b="0" i="1">
                              <a:latin typeface="Cambria Math" panose="02040503050406030204" pitchFamily="18" charset="0"/>
                              <a:ea typeface="Cambria Math" panose="02040503050406030204" pitchFamily="18" charset="0"/>
                            </a:rPr>
                          </m:ctrlPr>
                        </m:sSubPr>
                        <m:e>
                          <m:r>
                            <a:rPr lang="en-GB" sz="1100" b="0" i="1">
                              <a:latin typeface="Cambria Math" panose="02040503050406030204" pitchFamily="18" charset="0"/>
                              <a:ea typeface="Cambria Math" panose="02040503050406030204" pitchFamily="18" charset="0"/>
                            </a:rPr>
                            <m:t>𝑑</m:t>
                          </m:r>
                        </m:e>
                        <m:sub>
                          <m:r>
                            <a:rPr lang="en-GB" sz="1100" b="0" i="1">
                              <a:latin typeface="Cambria Math" panose="02040503050406030204" pitchFamily="18" charset="0"/>
                              <a:ea typeface="Cambria Math" panose="02040503050406030204" pitchFamily="18" charset="0"/>
                            </a:rPr>
                            <m:t>𝑛</m:t>
                          </m:r>
                        </m:sub>
                      </m:sSub>
                    </m:num>
                    <m:den>
                      <m:r>
                        <a:rPr lang="en-GB" sz="1100" b="0" i="1">
                          <a:latin typeface="Cambria Math" panose="02040503050406030204" pitchFamily="18" charset="0"/>
                          <a:ea typeface="Cambria Math" panose="02040503050406030204" pitchFamily="18" charset="0"/>
                        </a:rPr>
                        <m:t>2</m:t>
                      </m:r>
                    </m:den>
                  </m:f>
                </m:oMath>
              </a14:m>
              <a:r>
                <a:rPr lang="en-AU" sz="1100"/>
                <a:t>)</a:t>
              </a:r>
            </a:p>
            <a:p>
              <a:endParaRPr lang="en-AU" sz="1100"/>
            </a:p>
          </xdr:txBody>
        </xdr:sp>
      </mc:Choice>
      <mc:Fallback xmlns="">
        <xdr:sp macro="" textlink="">
          <xdr:nvSpPr>
            <xdr:cNvPr id="11" name="TextBox 10">
              <a:extLst>
                <a:ext uri="{FF2B5EF4-FFF2-40B4-BE49-F238E27FC236}">
                  <a16:creationId xmlns:a16="http://schemas.microsoft.com/office/drawing/2014/main" id="{42098262-A31C-4CFC-A96B-132AEF9FDA7B}"/>
                </a:ext>
              </a:extLst>
            </xdr:cNvPr>
            <xdr:cNvSpPr txBox="1"/>
          </xdr:nvSpPr>
          <xdr:spPr>
            <a:xfrm>
              <a:off x="0" y="15106650"/>
              <a:ext cx="1745671" cy="415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AU" sz="1100" i="0">
                  <a:latin typeface="Cambria Math" panose="02040503050406030204" pitchFamily="18" charset="0"/>
                  <a:ea typeface="Cambria Math" panose="02040503050406030204" pitchFamily="18" charset="0"/>
                </a:rPr>
                <a:t>∅</a:t>
              </a:r>
              <a:r>
                <a:rPr lang="en-GB" sz="1100" b="0" i="0">
                  <a:latin typeface="Cambria Math" panose="02040503050406030204" pitchFamily="18" charset="0"/>
                  <a:ea typeface="Cambria Math" panose="02040503050406030204" pitchFamily="18" charset="0"/>
                </a:rPr>
                <a:t>∗𝑀_𝑢𝑜= ∅∗𝑇 ∗(𝑑−(</a:t>
              </a:r>
              <a:r>
                <a:rPr lang="el-GR" sz="1100" b="0" i="0">
                  <a:latin typeface="Cambria Math" panose="02040503050406030204" pitchFamily="18" charset="0"/>
                  <a:ea typeface="Cambria Math" panose="02040503050406030204" pitchFamily="18" charset="0"/>
                </a:rPr>
                <a:t>γ</a:t>
              </a:r>
              <a:r>
                <a:rPr lang="en-GB" sz="1100" b="0" i="0">
                  <a:latin typeface="Cambria Math" panose="02040503050406030204" pitchFamily="18" charset="0"/>
                  <a:ea typeface="Cambria Math" panose="02040503050406030204" pitchFamily="18" charset="0"/>
                </a:rPr>
                <a:t>∗𝑑_𝑛)/2</a:t>
              </a:r>
              <a:r>
                <a:rPr lang="en-AU" sz="1100"/>
                <a:t>)</a:t>
              </a:r>
            </a:p>
            <a:p>
              <a:endParaRPr lang="en-AU" sz="1100"/>
            </a:p>
          </xdr:txBody>
        </xdr:sp>
      </mc:Fallback>
    </mc:AlternateContent>
    <xdr:clientData/>
  </xdr:oneCellAnchor>
  <xdr:twoCellAnchor editAs="absolute">
    <xdr:from>
      <xdr:col>0</xdr:col>
      <xdr:colOff>0</xdr:colOff>
      <xdr:row>0</xdr:row>
      <xdr:rowOff>0</xdr:rowOff>
    </xdr:from>
    <xdr:to>
      <xdr:col>6</xdr:col>
      <xdr:colOff>440884</xdr:colOff>
      <xdr:row>5</xdr:row>
      <xdr:rowOff>26392</xdr:rowOff>
    </xdr:to>
    <xdr:grpSp>
      <xdr:nvGrpSpPr>
        <xdr:cNvPr id="33" name="GroupedHeader">
          <a:extLst>
            <a:ext uri="{FF2B5EF4-FFF2-40B4-BE49-F238E27FC236}">
              <a16:creationId xmlns:a16="http://schemas.microsoft.com/office/drawing/2014/main" id="{77379EEE-1FD9-4DA9-B104-5A844295625A}"/>
            </a:ext>
          </a:extLst>
        </xdr:cNvPr>
        <xdr:cNvGrpSpPr/>
      </xdr:nvGrpSpPr>
      <xdr:grpSpPr>
        <a:xfrm>
          <a:off x="0" y="0"/>
          <a:ext cx="5973004" cy="1253212"/>
          <a:chOff x="15516225" y="79277"/>
          <a:chExt cx="6609367" cy="1328247"/>
        </a:xfrm>
      </xdr:grpSpPr>
      <xdr:sp macro="" textlink="job_no">
        <xdr:nvSpPr>
          <xdr:cNvPr id="34" name="Text Box 39">
            <a:extLst>
              <a:ext uri="{FF2B5EF4-FFF2-40B4-BE49-F238E27FC236}">
                <a16:creationId xmlns:a16="http://schemas.microsoft.com/office/drawing/2014/main" id="{D1322E6E-D3D2-CA84-632F-EDE3FEB28EEF}"/>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35" name="Text Box 39">
            <a:extLst>
              <a:ext uri="{FF2B5EF4-FFF2-40B4-BE49-F238E27FC236}">
                <a16:creationId xmlns:a16="http://schemas.microsoft.com/office/drawing/2014/main" id="{D2F5D905-D698-C204-B787-954B3C3BBE7B}"/>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36" name="Text Box 39">
            <a:extLst>
              <a:ext uri="{FF2B5EF4-FFF2-40B4-BE49-F238E27FC236}">
                <a16:creationId xmlns:a16="http://schemas.microsoft.com/office/drawing/2014/main" id="{38C17AF3-DE65-B067-494D-318E2CFF68A0}"/>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37" name="Text Box 39">
            <a:extLst>
              <a:ext uri="{FF2B5EF4-FFF2-40B4-BE49-F238E27FC236}">
                <a16:creationId xmlns:a16="http://schemas.microsoft.com/office/drawing/2014/main" id="{0D0559B2-B6AC-2639-0E01-1E30DF94195B}"/>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38" name="Text Box 39">
            <a:extLst>
              <a:ext uri="{FF2B5EF4-FFF2-40B4-BE49-F238E27FC236}">
                <a16:creationId xmlns:a16="http://schemas.microsoft.com/office/drawing/2014/main" id="{3B86E096-EC87-2F54-FE11-AF8D494C500F}"/>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39" name="DisclaimerBox">
            <a:extLst>
              <a:ext uri="{FF2B5EF4-FFF2-40B4-BE49-F238E27FC236}">
                <a16:creationId xmlns:a16="http://schemas.microsoft.com/office/drawing/2014/main" id="{B7937C20-622A-2074-00A3-E2D43438089D}"/>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40" name="Rectangle 39">
            <a:extLst>
              <a:ext uri="{FF2B5EF4-FFF2-40B4-BE49-F238E27FC236}">
                <a16:creationId xmlns:a16="http://schemas.microsoft.com/office/drawing/2014/main" id="{6050C144-10E2-D444-D7ED-06B2C37324BC}"/>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41" name="Rectangle 40">
            <a:extLst>
              <a:ext uri="{FF2B5EF4-FFF2-40B4-BE49-F238E27FC236}">
                <a16:creationId xmlns:a16="http://schemas.microsoft.com/office/drawing/2014/main" id="{8B60E3A0-A5F2-D947-2826-7B2E2B5C478D}"/>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42" name="Rectangle 41">
            <a:extLst>
              <a:ext uri="{FF2B5EF4-FFF2-40B4-BE49-F238E27FC236}">
                <a16:creationId xmlns:a16="http://schemas.microsoft.com/office/drawing/2014/main" id="{9D4127EC-1D8C-AA0B-CE7A-026E8E140B5B}"/>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43" name="Rectangle 42">
            <a:extLst>
              <a:ext uri="{FF2B5EF4-FFF2-40B4-BE49-F238E27FC236}">
                <a16:creationId xmlns:a16="http://schemas.microsoft.com/office/drawing/2014/main" id="{06484D45-EF0D-685F-6B93-54A0103617D6}"/>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44" name="Rectangle 43">
            <a:extLst>
              <a:ext uri="{FF2B5EF4-FFF2-40B4-BE49-F238E27FC236}">
                <a16:creationId xmlns:a16="http://schemas.microsoft.com/office/drawing/2014/main" id="{831FC1D7-16BE-60B6-DA5E-642859F32F89}"/>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45" name="Rectangle 44">
            <a:extLst>
              <a:ext uri="{FF2B5EF4-FFF2-40B4-BE49-F238E27FC236}">
                <a16:creationId xmlns:a16="http://schemas.microsoft.com/office/drawing/2014/main" id="{8F61E1BB-DBF7-5A28-B2D4-990C9F206D19}"/>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46" name="TextBox 45">
            <a:extLst>
              <a:ext uri="{FF2B5EF4-FFF2-40B4-BE49-F238E27FC236}">
                <a16:creationId xmlns:a16="http://schemas.microsoft.com/office/drawing/2014/main" id="{28C92ECF-F21C-DA41-23BB-98A84E774986}"/>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47" name="Text Box 46">
            <a:extLst>
              <a:ext uri="{FF2B5EF4-FFF2-40B4-BE49-F238E27FC236}">
                <a16:creationId xmlns:a16="http://schemas.microsoft.com/office/drawing/2014/main" id="{D20271D1-3FD7-A3A5-C7EC-F52D6CB7E211}"/>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48" name="Text Box 46">
            <a:extLst>
              <a:ext uri="{FF2B5EF4-FFF2-40B4-BE49-F238E27FC236}">
                <a16:creationId xmlns:a16="http://schemas.microsoft.com/office/drawing/2014/main" id="{903ADB30-DAE9-0150-1C30-88791579EFFF}"/>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49" name="Text Box 39">
            <a:extLst>
              <a:ext uri="{FF2B5EF4-FFF2-40B4-BE49-F238E27FC236}">
                <a16:creationId xmlns:a16="http://schemas.microsoft.com/office/drawing/2014/main" id="{AC7BE549-E427-F8D7-2D1B-0661A93F2606}"/>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50" name="Rectangle 49">
            <a:extLst>
              <a:ext uri="{FF2B5EF4-FFF2-40B4-BE49-F238E27FC236}">
                <a16:creationId xmlns:a16="http://schemas.microsoft.com/office/drawing/2014/main" id="{6C3D84A9-B068-446D-BC42-8F81AD5546FC}"/>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51" name="Text Box 39">
            <a:extLst>
              <a:ext uri="{FF2B5EF4-FFF2-40B4-BE49-F238E27FC236}">
                <a16:creationId xmlns:a16="http://schemas.microsoft.com/office/drawing/2014/main" id="{22211D20-F94E-4E12-02D5-A4D9FB755876}"/>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52" name="Text Box 46">
            <a:extLst>
              <a:ext uri="{FF2B5EF4-FFF2-40B4-BE49-F238E27FC236}">
                <a16:creationId xmlns:a16="http://schemas.microsoft.com/office/drawing/2014/main" id="{6B849B8C-23B4-7D06-AF7E-D941A1353243}"/>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53" name="Text Box 46">
            <a:extLst>
              <a:ext uri="{FF2B5EF4-FFF2-40B4-BE49-F238E27FC236}">
                <a16:creationId xmlns:a16="http://schemas.microsoft.com/office/drawing/2014/main" id="{A5F21379-4F48-7545-FDF9-F6DD25D81FDF}"/>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572931</xdr:colOff>
      <xdr:row>6</xdr:row>
      <xdr:rowOff>34290</xdr:rowOff>
    </xdr:from>
    <xdr:to>
      <xdr:col>7</xdr:col>
      <xdr:colOff>3332</xdr:colOff>
      <xdr:row>15</xdr:row>
      <xdr:rowOff>55245</xdr:rowOff>
    </xdr:to>
    <xdr:pic>
      <xdr:nvPicPr>
        <xdr:cNvPr id="2" name="Picture 1">
          <a:extLst>
            <a:ext uri="{FF2B5EF4-FFF2-40B4-BE49-F238E27FC236}">
              <a16:creationId xmlns:a16="http://schemas.microsoft.com/office/drawing/2014/main" id="{C5830752-1470-413C-9FC7-6700823EE9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4430556" y="1558290"/>
          <a:ext cx="1573526" cy="1325880"/>
        </a:xfrm>
        <a:prstGeom prst="rect">
          <a:avLst/>
        </a:prstGeom>
      </xdr:spPr>
    </xdr:pic>
    <xdr:clientData/>
  </xdr:twoCellAnchor>
  <xdr:twoCellAnchor editAs="oneCell">
    <xdr:from>
      <xdr:col>0</xdr:col>
      <xdr:colOff>0</xdr:colOff>
      <xdr:row>41</xdr:row>
      <xdr:rowOff>30480</xdr:rowOff>
    </xdr:from>
    <xdr:to>
      <xdr:col>2</xdr:col>
      <xdr:colOff>92287</xdr:colOff>
      <xdr:row>57</xdr:row>
      <xdr:rowOff>133350</xdr:rowOff>
    </xdr:to>
    <xdr:pic>
      <xdr:nvPicPr>
        <xdr:cNvPr id="3" name="Picture 2">
          <a:extLst>
            <a:ext uri="{FF2B5EF4-FFF2-40B4-BE49-F238E27FC236}">
              <a16:creationId xmlns:a16="http://schemas.microsoft.com/office/drawing/2014/main" id="{C4154A73-751D-44F1-B060-1E5B2F398889}"/>
            </a:ext>
          </a:extLst>
        </xdr:cNvPr>
        <xdr:cNvPicPr>
          <a:picLocks noChangeAspect="1"/>
        </xdr:cNvPicPr>
      </xdr:nvPicPr>
      <xdr:blipFill>
        <a:blip xmlns:r="http://schemas.openxmlformats.org/officeDocument/2006/relationships" r:embed="rId2"/>
        <a:stretch>
          <a:fillRect/>
        </a:stretch>
      </xdr:blipFill>
      <xdr:spPr>
        <a:xfrm>
          <a:off x="0" y="6734175"/>
          <a:ext cx="3296497" cy="2844165"/>
        </a:xfrm>
        <a:prstGeom prst="rect">
          <a:avLst/>
        </a:prstGeom>
      </xdr:spPr>
    </xdr:pic>
    <xdr:clientData/>
  </xdr:twoCellAnchor>
  <xdr:twoCellAnchor editAs="absolute">
    <xdr:from>
      <xdr:col>0</xdr:col>
      <xdr:colOff>0</xdr:colOff>
      <xdr:row>0</xdr:row>
      <xdr:rowOff>0</xdr:rowOff>
    </xdr:from>
    <xdr:to>
      <xdr:col>6</xdr:col>
      <xdr:colOff>434216</xdr:colOff>
      <xdr:row>5</xdr:row>
      <xdr:rowOff>24487</xdr:rowOff>
    </xdr:to>
    <xdr:grpSp>
      <xdr:nvGrpSpPr>
        <xdr:cNvPr id="25" name="GroupedHeader">
          <a:extLst>
            <a:ext uri="{FF2B5EF4-FFF2-40B4-BE49-F238E27FC236}">
              <a16:creationId xmlns:a16="http://schemas.microsoft.com/office/drawing/2014/main" id="{E3110A10-49A0-41E5-AB8D-7C07167EBA80}"/>
            </a:ext>
          </a:extLst>
        </xdr:cNvPr>
        <xdr:cNvGrpSpPr/>
      </xdr:nvGrpSpPr>
      <xdr:grpSpPr>
        <a:xfrm>
          <a:off x="0" y="0"/>
          <a:ext cx="5973004" cy="1253212"/>
          <a:chOff x="15516225" y="79277"/>
          <a:chExt cx="6609367" cy="1328247"/>
        </a:xfrm>
      </xdr:grpSpPr>
      <xdr:sp macro="" textlink="job_no">
        <xdr:nvSpPr>
          <xdr:cNvPr id="26" name="Text Box 39">
            <a:extLst>
              <a:ext uri="{FF2B5EF4-FFF2-40B4-BE49-F238E27FC236}">
                <a16:creationId xmlns:a16="http://schemas.microsoft.com/office/drawing/2014/main" id="{AF4FE16A-AA54-3880-EB28-4209669520C5}"/>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27" name="Text Box 39">
            <a:extLst>
              <a:ext uri="{FF2B5EF4-FFF2-40B4-BE49-F238E27FC236}">
                <a16:creationId xmlns:a16="http://schemas.microsoft.com/office/drawing/2014/main" id="{6C5C1958-7E7A-7E79-B01D-C48C1B8F217F}"/>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28" name="Text Box 39">
            <a:extLst>
              <a:ext uri="{FF2B5EF4-FFF2-40B4-BE49-F238E27FC236}">
                <a16:creationId xmlns:a16="http://schemas.microsoft.com/office/drawing/2014/main" id="{285D0E17-B91E-C3B3-C134-D1F87B6F9342}"/>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29" name="Text Box 39">
            <a:extLst>
              <a:ext uri="{FF2B5EF4-FFF2-40B4-BE49-F238E27FC236}">
                <a16:creationId xmlns:a16="http://schemas.microsoft.com/office/drawing/2014/main" id="{235A4584-F1C1-C005-5F52-4FB8ACE4B663}"/>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30" name="Text Box 39">
            <a:extLst>
              <a:ext uri="{FF2B5EF4-FFF2-40B4-BE49-F238E27FC236}">
                <a16:creationId xmlns:a16="http://schemas.microsoft.com/office/drawing/2014/main" id="{AB1CD883-A461-B6D3-8FD8-435BF0560F3C}"/>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31" name="DisclaimerBox">
            <a:extLst>
              <a:ext uri="{FF2B5EF4-FFF2-40B4-BE49-F238E27FC236}">
                <a16:creationId xmlns:a16="http://schemas.microsoft.com/office/drawing/2014/main" id="{147DD008-20A3-BD0D-CBBB-7C4BDF357D1E}"/>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32" name="Rectangle 31">
            <a:extLst>
              <a:ext uri="{FF2B5EF4-FFF2-40B4-BE49-F238E27FC236}">
                <a16:creationId xmlns:a16="http://schemas.microsoft.com/office/drawing/2014/main" id="{8271A82C-5AAC-4F1D-7342-28153F0ADFFF}"/>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33" name="Rectangle 32">
            <a:extLst>
              <a:ext uri="{FF2B5EF4-FFF2-40B4-BE49-F238E27FC236}">
                <a16:creationId xmlns:a16="http://schemas.microsoft.com/office/drawing/2014/main" id="{183B3A96-3B17-B1D7-0344-27089BCCDA3C}"/>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34" name="Rectangle 33">
            <a:extLst>
              <a:ext uri="{FF2B5EF4-FFF2-40B4-BE49-F238E27FC236}">
                <a16:creationId xmlns:a16="http://schemas.microsoft.com/office/drawing/2014/main" id="{392CD349-BFE9-ABD7-EDA8-18A55E329663}"/>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35" name="Rectangle 34">
            <a:extLst>
              <a:ext uri="{FF2B5EF4-FFF2-40B4-BE49-F238E27FC236}">
                <a16:creationId xmlns:a16="http://schemas.microsoft.com/office/drawing/2014/main" id="{6B8ECED0-5681-16F4-874B-A2808D88E672}"/>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36" name="Rectangle 35">
            <a:extLst>
              <a:ext uri="{FF2B5EF4-FFF2-40B4-BE49-F238E27FC236}">
                <a16:creationId xmlns:a16="http://schemas.microsoft.com/office/drawing/2014/main" id="{4251E7FA-664D-2E80-8D4D-CCE80101062E}"/>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37" name="Rectangle 36">
            <a:extLst>
              <a:ext uri="{FF2B5EF4-FFF2-40B4-BE49-F238E27FC236}">
                <a16:creationId xmlns:a16="http://schemas.microsoft.com/office/drawing/2014/main" id="{4EDC6A2A-F834-FF10-BC7A-7B5B6610D16D}"/>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38" name="TextBox 37">
            <a:extLst>
              <a:ext uri="{FF2B5EF4-FFF2-40B4-BE49-F238E27FC236}">
                <a16:creationId xmlns:a16="http://schemas.microsoft.com/office/drawing/2014/main" id="{801FC026-BBC9-CCCC-CCF4-C23CA0C58261}"/>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39" name="Text Box 46">
            <a:extLst>
              <a:ext uri="{FF2B5EF4-FFF2-40B4-BE49-F238E27FC236}">
                <a16:creationId xmlns:a16="http://schemas.microsoft.com/office/drawing/2014/main" id="{34222E1F-7135-7AAC-6E18-F75AC73B3397}"/>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40" name="Text Box 46">
            <a:extLst>
              <a:ext uri="{FF2B5EF4-FFF2-40B4-BE49-F238E27FC236}">
                <a16:creationId xmlns:a16="http://schemas.microsoft.com/office/drawing/2014/main" id="{8E9B4973-01BB-4BDB-8C46-1BBCE6646268}"/>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41" name="Text Box 39">
            <a:extLst>
              <a:ext uri="{FF2B5EF4-FFF2-40B4-BE49-F238E27FC236}">
                <a16:creationId xmlns:a16="http://schemas.microsoft.com/office/drawing/2014/main" id="{5E1D7333-389D-C7D6-0A46-5676C834037C}"/>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42" name="Rectangle 41">
            <a:extLst>
              <a:ext uri="{FF2B5EF4-FFF2-40B4-BE49-F238E27FC236}">
                <a16:creationId xmlns:a16="http://schemas.microsoft.com/office/drawing/2014/main" id="{6CB1E2DD-3DB4-D76D-57D1-491DAC51EA29}"/>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43" name="Text Box 39">
            <a:extLst>
              <a:ext uri="{FF2B5EF4-FFF2-40B4-BE49-F238E27FC236}">
                <a16:creationId xmlns:a16="http://schemas.microsoft.com/office/drawing/2014/main" id="{2DDB003C-AEF0-299F-E794-55E254FC6B3B}"/>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44" name="Text Box 46">
            <a:extLst>
              <a:ext uri="{FF2B5EF4-FFF2-40B4-BE49-F238E27FC236}">
                <a16:creationId xmlns:a16="http://schemas.microsoft.com/office/drawing/2014/main" id="{05B52099-3047-09E0-9C0C-1D0EAE21E89B}"/>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45" name="Text Box 46">
            <a:extLst>
              <a:ext uri="{FF2B5EF4-FFF2-40B4-BE49-F238E27FC236}">
                <a16:creationId xmlns:a16="http://schemas.microsoft.com/office/drawing/2014/main" id="{1479CC82-6725-7BD2-B349-1D834ADEFA1F}"/>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333938</xdr:colOff>
      <xdr:row>3</xdr:row>
      <xdr:rowOff>200026</xdr:rowOff>
    </xdr:from>
    <xdr:to>
      <xdr:col>24</xdr:col>
      <xdr:colOff>257174</xdr:colOff>
      <xdr:row>4</xdr:row>
      <xdr:rowOff>226920</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bwMode="auto">
        <a:xfrm>
          <a:off x="6896663" y="866776"/>
          <a:ext cx="5285811" cy="312644"/>
        </a:xfrm>
        <a:prstGeom prst="rect">
          <a:avLst/>
        </a:prstGeom>
        <a:noFill/>
        <a:ln w="12700">
          <a:noFill/>
          <a:miter lim="800000"/>
          <a:headEnd/>
          <a:tailEnd/>
        </a:ln>
      </xdr:spPr>
      <xdr:txBody>
        <a:bodyPr vertOverflow="clip" horzOverflow="clip" wrap="square" rtlCol="0" anchor="t"/>
        <a:lstStyle/>
        <a:p>
          <a:r>
            <a:rPr lang="en-AU" sz="1100" b="1"/>
            <a:t>Automatically</a:t>
          </a:r>
          <a:r>
            <a:rPr lang="en-AU" sz="1100" b="1" baseline="0"/>
            <a:t> filled with the values entered in the title block on the </a:t>
          </a:r>
          <a:r>
            <a:rPr lang="en-AU" sz="1100" b="1"/>
            <a:t>'Instructions' tab</a:t>
          </a:r>
        </a:p>
      </xdr:txBody>
    </xdr:sp>
    <xdr:clientData/>
  </xdr:twoCellAnchor>
  <xdr:twoCellAnchor editAs="absolute">
    <xdr:from>
      <xdr:col>0</xdr:col>
      <xdr:colOff>0</xdr:colOff>
      <xdr:row>0</xdr:row>
      <xdr:rowOff>0</xdr:rowOff>
    </xdr:from>
    <xdr:to>
      <xdr:col>12</xdr:col>
      <xdr:colOff>374209</xdr:colOff>
      <xdr:row>5</xdr:row>
      <xdr:rowOff>16867</xdr:rowOff>
    </xdr:to>
    <xdr:grpSp>
      <xdr:nvGrpSpPr>
        <xdr:cNvPr id="24" name="GroupedHeader">
          <a:extLst>
            <a:ext uri="{FF2B5EF4-FFF2-40B4-BE49-F238E27FC236}">
              <a16:creationId xmlns:a16="http://schemas.microsoft.com/office/drawing/2014/main" id="{00000000-0008-0000-0600-000018000000}"/>
            </a:ext>
          </a:extLst>
        </xdr:cNvPr>
        <xdr:cNvGrpSpPr/>
      </xdr:nvGrpSpPr>
      <xdr:grpSpPr>
        <a:xfrm>
          <a:off x="0" y="0"/>
          <a:ext cx="5952049" cy="1243687"/>
          <a:chOff x="15516225" y="79277"/>
          <a:chExt cx="6609367" cy="1328247"/>
        </a:xfrm>
      </xdr:grpSpPr>
      <xdr:sp macro="" textlink="job_no">
        <xdr:nvSpPr>
          <xdr:cNvPr id="25" name="Text Box 39">
            <a:extLst>
              <a:ext uri="{FF2B5EF4-FFF2-40B4-BE49-F238E27FC236}">
                <a16:creationId xmlns:a16="http://schemas.microsoft.com/office/drawing/2014/main" id="{00000000-0008-0000-0600-000019000000}"/>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26" name="Text Box 39">
            <a:extLst>
              <a:ext uri="{FF2B5EF4-FFF2-40B4-BE49-F238E27FC236}">
                <a16:creationId xmlns:a16="http://schemas.microsoft.com/office/drawing/2014/main" id="{00000000-0008-0000-0600-00001A000000}"/>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27" name="Text Box 39">
            <a:extLst>
              <a:ext uri="{FF2B5EF4-FFF2-40B4-BE49-F238E27FC236}">
                <a16:creationId xmlns:a16="http://schemas.microsoft.com/office/drawing/2014/main" id="{00000000-0008-0000-0600-00001B000000}"/>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28" name="Text Box 39">
            <a:extLst>
              <a:ext uri="{FF2B5EF4-FFF2-40B4-BE49-F238E27FC236}">
                <a16:creationId xmlns:a16="http://schemas.microsoft.com/office/drawing/2014/main" id="{00000000-0008-0000-0600-00001C000000}"/>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29" name="Text Box 39">
            <a:extLst>
              <a:ext uri="{FF2B5EF4-FFF2-40B4-BE49-F238E27FC236}">
                <a16:creationId xmlns:a16="http://schemas.microsoft.com/office/drawing/2014/main" id="{00000000-0008-0000-0600-00001D000000}"/>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30" name="DisclaimerBox">
            <a:extLst>
              <a:ext uri="{FF2B5EF4-FFF2-40B4-BE49-F238E27FC236}">
                <a16:creationId xmlns:a16="http://schemas.microsoft.com/office/drawing/2014/main" id="{00000000-0008-0000-0600-00001E000000}"/>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31" name="Rectangle 30">
            <a:extLst>
              <a:ext uri="{FF2B5EF4-FFF2-40B4-BE49-F238E27FC236}">
                <a16:creationId xmlns:a16="http://schemas.microsoft.com/office/drawing/2014/main" id="{00000000-0008-0000-0600-00001F000000}"/>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32" name="Rectangle 31">
            <a:extLst>
              <a:ext uri="{FF2B5EF4-FFF2-40B4-BE49-F238E27FC236}">
                <a16:creationId xmlns:a16="http://schemas.microsoft.com/office/drawing/2014/main" id="{00000000-0008-0000-0600-000020000000}"/>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33" name="Rectangle 32">
            <a:extLst>
              <a:ext uri="{FF2B5EF4-FFF2-40B4-BE49-F238E27FC236}">
                <a16:creationId xmlns:a16="http://schemas.microsoft.com/office/drawing/2014/main" id="{00000000-0008-0000-0600-000021000000}"/>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34" name="Rectangle 33">
            <a:extLst>
              <a:ext uri="{FF2B5EF4-FFF2-40B4-BE49-F238E27FC236}">
                <a16:creationId xmlns:a16="http://schemas.microsoft.com/office/drawing/2014/main" id="{00000000-0008-0000-0600-000022000000}"/>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35" name="Rectangle 34">
            <a:extLst>
              <a:ext uri="{FF2B5EF4-FFF2-40B4-BE49-F238E27FC236}">
                <a16:creationId xmlns:a16="http://schemas.microsoft.com/office/drawing/2014/main" id="{00000000-0008-0000-0600-000023000000}"/>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36" name="Rectangle 35">
            <a:extLst>
              <a:ext uri="{FF2B5EF4-FFF2-40B4-BE49-F238E27FC236}">
                <a16:creationId xmlns:a16="http://schemas.microsoft.com/office/drawing/2014/main" id="{00000000-0008-0000-0600-000024000000}"/>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37" name="TextBox 36">
            <a:extLst>
              <a:ext uri="{FF2B5EF4-FFF2-40B4-BE49-F238E27FC236}">
                <a16:creationId xmlns:a16="http://schemas.microsoft.com/office/drawing/2014/main" id="{00000000-0008-0000-0600-000025000000}"/>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38" name="Text Box 46">
            <a:extLst>
              <a:ext uri="{FF2B5EF4-FFF2-40B4-BE49-F238E27FC236}">
                <a16:creationId xmlns:a16="http://schemas.microsoft.com/office/drawing/2014/main" id="{00000000-0008-0000-0600-000026000000}"/>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39" name="Text Box 46">
            <a:extLst>
              <a:ext uri="{FF2B5EF4-FFF2-40B4-BE49-F238E27FC236}">
                <a16:creationId xmlns:a16="http://schemas.microsoft.com/office/drawing/2014/main" id="{00000000-0008-0000-0600-000027000000}"/>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40" name="Text Box 39">
            <a:extLst>
              <a:ext uri="{FF2B5EF4-FFF2-40B4-BE49-F238E27FC236}">
                <a16:creationId xmlns:a16="http://schemas.microsoft.com/office/drawing/2014/main" id="{00000000-0008-0000-0600-000028000000}"/>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41" name="Rectangle 40">
            <a:extLst>
              <a:ext uri="{FF2B5EF4-FFF2-40B4-BE49-F238E27FC236}">
                <a16:creationId xmlns:a16="http://schemas.microsoft.com/office/drawing/2014/main" id="{00000000-0008-0000-0600-000029000000}"/>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42" name="Text Box 39">
            <a:extLst>
              <a:ext uri="{FF2B5EF4-FFF2-40B4-BE49-F238E27FC236}">
                <a16:creationId xmlns:a16="http://schemas.microsoft.com/office/drawing/2014/main" id="{00000000-0008-0000-0600-00002A000000}"/>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43" name="Text Box 46">
            <a:extLst>
              <a:ext uri="{FF2B5EF4-FFF2-40B4-BE49-F238E27FC236}">
                <a16:creationId xmlns:a16="http://schemas.microsoft.com/office/drawing/2014/main" id="{00000000-0008-0000-0600-00002B000000}"/>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44" name="Text Box 46">
            <a:extLst>
              <a:ext uri="{FF2B5EF4-FFF2-40B4-BE49-F238E27FC236}">
                <a16:creationId xmlns:a16="http://schemas.microsoft.com/office/drawing/2014/main" id="{00000000-0008-0000-0600-00002C000000}"/>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drawings/drawing10.xml><?xml version="1.0" encoding="utf-8"?>
<xdr:wsDr xmlns:xdr="http://schemas.openxmlformats.org/drawingml/2006/spreadsheetDrawing" xmlns:a="http://schemas.openxmlformats.org/drawingml/2006/main">
  <xdr:oneCellAnchor>
    <xdr:from>
      <xdr:col>0</xdr:col>
      <xdr:colOff>285751</xdr:colOff>
      <xdr:row>9</xdr:row>
      <xdr:rowOff>148708</xdr:rowOff>
    </xdr:from>
    <xdr:ext cx="5825668" cy="7347467"/>
    <xdr:pic>
      <xdr:nvPicPr>
        <xdr:cNvPr id="23" name="Picture 17">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5751" y="2472808"/>
          <a:ext cx="5825668" cy="7347467"/>
        </a:xfrm>
        <a:prstGeom prst="rect">
          <a:avLst/>
        </a:prstGeom>
        <a:noFill/>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167752</xdr:colOff>
      <xdr:row>41</xdr:row>
      <xdr:rowOff>95419</xdr:rowOff>
    </xdr:from>
    <xdr:to>
      <xdr:col>2</xdr:col>
      <xdr:colOff>146610</xdr:colOff>
      <xdr:row>45</xdr:row>
      <xdr:rowOff>1089</xdr:rowOff>
    </xdr:to>
    <xdr:pic>
      <xdr:nvPicPr>
        <xdr:cNvPr id="95" name="LogoAH" descr="Aurecon Hatch (Standard)">
          <a:extLst>
            <a:ext uri="{FF2B5EF4-FFF2-40B4-BE49-F238E27FC236}">
              <a16:creationId xmlns:a16="http://schemas.microsoft.com/office/drawing/2014/main" id="{00000000-0008-0000-0800-00005F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033" t="9947" r="6135" b="9530"/>
        <a:stretch/>
      </xdr:blipFill>
      <xdr:spPr bwMode="auto">
        <a:xfrm>
          <a:off x="167752" y="3152944"/>
          <a:ext cx="1093283" cy="4750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185541</xdr:colOff>
      <xdr:row>39</xdr:row>
      <xdr:rowOff>29731</xdr:rowOff>
    </xdr:from>
    <xdr:to>
      <xdr:col>3</xdr:col>
      <xdr:colOff>350903</xdr:colOff>
      <xdr:row>41</xdr:row>
      <xdr:rowOff>103909</xdr:rowOff>
    </xdr:to>
    <xdr:pic>
      <xdr:nvPicPr>
        <xdr:cNvPr id="141" name="logoCWDC_PL">
          <a:extLst>
            <a:ext uri="{FF2B5EF4-FFF2-40B4-BE49-F238E27FC236}">
              <a16:creationId xmlns:a16="http://schemas.microsoft.com/office/drawing/2014/main" id="{00000000-0008-0000-0800-00008D000000}"/>
            </a:ext>
          </a:extLst>
        </xdr:cNvPr>
        <xdr:cNvPicPr preferRelativeResize="0">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783" t="11844" r="850" b="12582"/>
        <a:stretch/>
      </xdr:blipFill>
      <xdr:spPr bwMode="auto">
        <a:xfrm>
          <a:off x="185541" y="2801506"/>
          <a:ext cx="1813187" cy="35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204591</xdr:colOff>
      <xdr:row>35</xdr:row>
      <xdr:rowOff>117302</xdr:rowOff>
    </xdr:from>
    <xdr:to>
      <xdr:col>3</xdr:col>
      <xdr:colOff>501509</xdr:colOff>
      <xdr:row>38</xdr:row>
      <xdr:rowOff>59512</xdr:rowOff>
    </xdr:to>
    <xdr:pic>
      <xdr:nvPicPr>
        <xdr:cNvPr id="164" name="logoCWDC_L" descr="CW-DC">
          <a:extLst>
            <a:ext uri="{FF2B5EF4-FFF2-40B4-BE49-F238E27FC236}">
              <a16:creationId xmlns:a16="http://schemas.microsoft.com/office/drawing/2014/main" id="{00000000-0008-0000-0800-0000A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4591" y="2317577"/>
          <a:ext cx="1944743" cy="3708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161328</xdr:colOff>
      <xdr:row>31</xdr:row>
      <xdr:rowOff>98146</xdr:rowOff>
    </xdr:from>
    <xdr:to>
      <xdr:col>3</xdr:col>
      <xdr:colOff>236829</xdr:colOff>
      <xdr:row>34</xdr:row>
      <xdr:rowOff>15013</xdr:rowOff>
    </xdr:to>
    <xdr:pic>
      <xdr:nvPicPr>
        <xdr:cNvPr id="176" name="logoA">
          <a:extLst>
            <a:ext uri="{FF2B5EF4-FFF2-40B4-BE49-F238E27FC236}">
              <a16:creationId xmlns:a16="http://schemas.microsoft.com/office/drawing/2014/main" id="{00000000-0008-0000-0800-0000B0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2192" r="39"/>
        <a:stretch/>
      </xdr:blipFill>
      <xdr:spPr>
        <a:xfrm>
          <a:off x="161328" y="1726921"/>
          <a:ext cx="1723326" cy="345492"/>
        </a:xfrm>
        <a:prstGeom prst="rect">
          <a:avLst/>
        </a:prstGeom>
      </xdr:spPr>
    </xdr:pic>
    <xdr:clientData/>
  </xdr:twoCellAnchor>
  <xdr:twoCellAnchor editAs="oneCell">
    <xdr:from>
      <xdr:col>0</xdr:col>
      <xdr:colOff>188843</xdr:colOff>
      <xdr:row>45</xdr:row>
      <xdr:rowOff>54647</xdr:rowOff>
    </xdr:from>
    <xdr:to>
      <xdr:col>2</xdr:col>
      <xdr:colOff>223629</xdr:colOff>
      <xdr:row>48</xdr:row>
      <xdr:rowOff>22282</xdr:rowOff>
    </xdr:to>
    <xdr:pic>
      <xdr:nvPicPr>
        <xdr:cNvPr id="306" name="logoAAdvisory">
          <a:extLst>
            <a:ext uri="{FF2B5EF4-FFF2-40B4-BE49-F238E27FC236}">
              <a16:creationId xmlns:a16="http://schemas.microsoft.com/office/drawing/2014/main" id="{00000000-0008-0000-0800-000032010000}"/>
            </a:ext>
          </a:extLst>
        </xdr:cNvPr>
        <xdr:cNvPicPr/>
      </xdr:nvPicPr>
      <xdr:blipFill>
        <a:blip xmlns:r="http://schemas.openxmlformats.org/officeDocument/2006/relationships" r:embed="rId5"/>
        <a:stretch>
          <a:fillRect/>
        </a:stretch>
      </xdr:blipFill>
      <xdr:spPr>
        <a:xfrm>
          <a:off x="188843" y="3683672"/>
          <a:ext cx="1149211" cy="396261"/>
        </a:xfrm>
        <a:prstGeom prst="rect">
          <a:avLst/>
        </a:prstGeom>
      </xdr:spPr>
    </xdr:pic>
    <xdr:clientData/>
  </xdr:twoCellAnchor>
  <xdr:twoCellAnchor editAs="absolute">
    <xdr:from>
      <xdr:col>29</xdr:col>
      <xdr:colOff>0</xdr:colOff>
      <xdr:row>0</xdr:row>
      <xdr:rowOff>80597</xdr:rowOff>
    </xdr:from>
    <xdr:to>
      <xdr:col>41</xdr:col>
      <xdr:colOff>9526</xdr:colOff>
      <xdr:row>8</xdr:row>
      <xdr:rowOff>207374</xdr:rowOff>
    </xdr:to>
    <xdr:grpSp>
      <xdr:nvGrpSpPr>
        <xdr:cNvPr id="2" name="GroupedHeader">
          <a:extLst>
            <a:ext uri="{FF2B5EF4-FFF2-40B4-BE49-F238E27FC236}">
              <a16:creationId xmlns:a16="http://schemas.microsoft.com/office/drawing/2014/main" id="{00000000-0008-0000-0800-000002000000}"/>
            </a:ext>
          </a:extLst>
        </xdr:cNvPr>
        <xdr:cNvGrpSpPr/>
      </xdr:nvGrpSpPr>
      <xdr:grpSpPr>
        <a:xfrm>
          <a:off x="14458122" y="80597"/>
          <a:ext cx="5973004" cy="1253212"/>
          <a:chOff x="15516225" y="79277"/>
          <a:chExt cx="6609367" cy="1328247"/>
        </a:xfrm>
      </xdr:grpSpPr>
      <xdr:sp macro="" textlink="job_no">
        <xdr:nvSpPr>
          <xdr:cNvPr id="7" name="Text Box 39">
            <a:extLst>
              <a:ext uri="{FF2B5EF4-FFF2-40B4-BE49-F238E27FC236}">
                <a16:creationId xmlns:a16="http://schemas.microsoft.com/office/drawing/2014/main" id="{00000000-0008-0000-0800-000007000000}"/>
              </a:ext>
            </a:extLst>
          </xdr:cNvPr>
          <xdr:cNvSpPr txBox="1">
            <a:spLocks noChangeArrowheads="1" noTextEdit="1"/>
          </xdr:cNvSpPr>
        </xdr:nvSpPr>
        <xdr:spPr bwMode="auto">
          <a:xfrm>
            <a:off x="20019026" y="833238"/>
            <a:ext cx="2103000" cy="287142"/>
          </a:xfrm>
          <a:prstGeom prst="rect">
            <a:avLst/>
          </a:prstGeom>
          <a:solidFill>
            <a:srgbClr val="FFFFFF"/>
          </a:solidFill>
          <a:ln w="12700">
            <a:noFill/>
            <a:miter lim="800000"/>
            <a:headEnd/>
            <a:tailEnd/>
          </a:ln>
        </xdr:spPr>
        <xdr:txBody>
          <a:bodyPr vertOverflow="clip" horzOverflow="clip" wrap="none" lIns="0" anchor="ctr" anchorCtr="0"/>
          <a:lstStyle/>
          <a:p>
            <a:fld id="{0BCB0D24-62D5-4A2D-992D-F926B0CFE9CD}"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by">
        <xdr:nvSpPr>
          <xdr:cNvPr id="8" name="Text Box 39">
            <a:extLst>
              <a:ext uri="{FF2B5EF4-FFF2-40B4-BE49-F238E27FC236}">
                <a16:creationId xmlns:a16="http://schemas.microsoft.com/office/drawing/2014/main" id="{00000000-0008-0000-0800-000008000000}"/>
              </a:ext>
            </a:extLst>
          </xdr:cNvPr>
          <xdr:cNvSpPr txBox="1">
            <a:spLocks noChangeArrowheads="1" noTextEdit="1"/>
          </xdr:cNvSpPr>
        </xdr:nvSpPr>
        <xdr:spPr bwMode="auto">
          <a:xfrm>
            <a:off x="21066016" y="1120379"/>
            <a:ext cx="1056900" cy="283001"/>
          </a:xfrm>
          <a:prstGeom prst="rect">
            <a:avLst/>
          </a:prstGeom>
          <a:solidFill>
            <a:srgbClr val="FFFFFF"/>
          </a:solidFill>
          <a:ln w="12700">
            <a:noFill/>
            <a:miter lim="800000"/>
            <a:headEnd/>
            <a:tailEnd/>
          </a:ln>
        </xdr:spPr>
        <xdr:txBody>
          <a:bodyPr vertOverflow="clip" horzOverflow="clip" wrap="none" lIns="0" anchor="ctr" anchorCtr="0"/>
          <a:lstStyle/>
          <a:p>
            <a:fld id="{95968100-7CD6-4EAA-BF5F-205AED096408}" type="TxLink">
              <a:rPr lang="en-AU" sz="800" b="0" i="0" u="none" strike="noStrike">
                <a:ln>
                  <a:noFill/>
                </a:ln>
                <a:solidFill>
                  <a:sysClr val="windowText" lastClr="000000"/>
                </a:solidFill>
                <a:latin typeface="Arial"/>
                <a:cs typeface="Arial"/>
              </a:rPr>
              <a:pPr/>
              <a:t>SBA</a:t>
            </a:fld>
            <a:endParaRPr lang="en-AU" sz="800" b="0">
              <a:ln>
                <a:noFill/>
              </a:ln>
              <a:solidFill>
                <a:sysClr val="windowText" lastClr="000000"/>
              </a:solidFill>
            </a:endParaRPr>
          </a:p>
        </xdr:txBody>
      </xdr:sp>
      <xdr:sp macro="" textlink="date_in">
        <xdr:nvSpPr>
          <xdr:cNvPr id="9" name="Text Box 39">
            <a:extLst>
              <a:ext uri="{FF2B5EF4-FFF2-40B4-BE49-F238E27FC236}">
                <a16:creationId xmlns:a16="http://schemas.microsoft.com/office/drawing/2014/main" id="{00000000-0008-0000-0800-000009000000}"/>
              </a:ext>
            </a:extLst>
          </xdr:cNvPr>
          <xdr:cNvSpPr txBox="1">
            <a:spLocks noChangeArrowheads="1" noTextEdit="1"/>
          </xdr:cNvSpPr>
        </xdr:nvSpPr>
        <xdr:spPr bwMode="auto">
          <a:xfrm>
            <a:off x="21064918" y="544734"/>
            <a:ext cx="1056900" cy="288504"/>
          </a:xfrm>
          <a:prstGeom prst="rect">
            <a:avLst/>
          </a:prstGeom>
          <a:solidFill>
            <a:srgbClr val="FFFFFF"/>
          </a:solidFill>
          <a:ln w="12700">
            <a:noFill/>
            <a:miter lim="800000"/>
            <a:headEnd/>
            <a:tailEnd/>
          </a:ln>
        </xdr:spPr>
        <xdr:txBody>
          <a:bodyPr vertOverflow="clip" horzOverflow="clip" wrap="none" lIns="0" anchor="ctr" anchorCtr="0"/>
          <a:lstStyle/>
          <a:p>
            <a:fld id="{43044404-97C8-4BA4-80CA-9662566F4C8F}"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subject">
        <xdr:nvSpPr>
          <xdr:cNvPr id="10" name="Text Box 39">
            <a:extLst>
              <a:ext uri="{FF2B5EF4-FFF2-40B4-BE49-F238E27FC236}">
                <a16:creationId xmlns:a16="http://schemas.microsoft.com/office/drawing/2014/main" id="{00000000-0008-0000-0800-00000A000000}"/>
              </a:ext>
            </a:extLst>
          </xdr:cNvPr>
          <xdr:cNvSpPr txBox="1">
            <a:spLocks noChangeArrowheads="1" noTextEdit="1"/>
          </xdr:cNvSpPr>
        </xdr:nvSpPr>
        <xdr:spPr bwMode="auto">
          <a:xfrm>
            <a:off x="16043814" y="1120379"/>
            <a:ext cx="3137673" cy="287144"/>
          </a:xfrm>
          <a:prstGeom prst="rect">
            <a:avLst/>
          </a:prstGeom>
          <a:solidFill>
            <a:srgbClr val="FFFFFF"/>
          </a:solidFill>
          <a:ln w="12700">
            <a:noFill/>
            <a:miter lim="800000"/>
            <a:headEnd/>
            <a:tailEnd/>
          </a:ln>
        </xdr:spPr>
        <xdr:txBody>
          <a:bodyPr vertOverflow="clip" horzOverflow="clip" wrap="none" lIns="0" anchor="ctr" anchorCtr="0"/>
          <a:lstStyle/>
          <a:p>
            <a:fld id="{81A0BF0C-E233-4B32-82D8-4EC0A6AFB780}" type="TxLink">
              <a:rPr lang="en-AU" sz="800" b="0" i="0" u="none" strike="noStrike">
                <a:ln>
                  <a:noFill/>
                </a:ln>
                <a:solidFill>
                  <a:sysClr val="windowText" lastClr="000000"/>
                </a:solidFill>
                <a:latin typeface="Arial"/>
                <a:cs typeface="Arial"/>
              </a:rPr>
              <a:pPr/>
              <a:t>Structural Pit Calculation</a:t>
            </a:fld>
            <a:endParaRPr lang="en-AU" sz="800" b="0">
              <a:ln>
                <a:noFill/>
              </a:ln>
              <a:solidFill>
                <a:sysClr val="windowText" lastClr="000000"/>
              </a:solidFill>
            </a:endParaRPr>
          </a:p>
        </xdr:txBody>
      </xdr:sp>
      <xdr:sp macro="" textlink="project">
        <xdr:nvSpPr>
          <xdr:cNvPr id="11" name="Text Box 39">
            <a:extLst>
              <a:ext uri="{FF2B5EF4-FFF2-40B4-BE49-F238E27FC236}">
                <a16:creationId xmlns:a16="http://schemas.microsoft.com/office/drawing/2014/main" id="{00000000-0008-0000-0800-00000B000000}"/>
              </a:ext>
            </a:extLst>
          </xdr:cNvPr>
          <xdr:cNvSpPr txBox="1">
            <a:spLocks noChangeArrowheads="1" noTextEdit="1"/>
          </xdr:cNvSpPr>
        </xdr:nvSpPr>
        <xdr:spPr bwMode="auto">
          <a:xfrm>
            <a:off x="16043814" y="833238"/>
            <a:ext cx="3137673" cy="287142"/>
          </a:xfrm>
          <a:prstGeom prst="rect">
            <a:avLst/>
          </a:prstGeom>
          <a:solidFill>
            <a:srgbClr val="FFFFFF"/>
          </a:solidFill>
          <a:ln w="12700">
            <a:noFill/>
            <a:miter lim="800000"/>
            <a:headEnd/>
            <a:tailEnd/>
          </a:ln>
        </xdr:spPr>
        <xdr:txBody>
          <a:bodyPr vertOverflow="clip" horzOverflow="clip" wrap="none" lIns="0" anchor="ctr" anchorCtr="0"/>
          <a:lstStyle/>
          <a:p>
            <a:fld id="{0EF4A3DE-0327-41A9-88E6-03C9B21D5470}" type="TxLink">
              <a:rPr lang="en-AU" sz="800" b="0" i="0" u="none" strike="noStrike">
                <a:ln>
                  <a:noFill/>
                </a:ln>
                <a:solidFill>
                  <a:sysClr val="windowText" lastClr="000000"/>
                </a:solidFill>
                <a:latin typeface="Arial"/>
                <a:cs typeface="Arial"/>
              </a:rPr>
              <a:pPr/>
              <a:t>TCL-MCR </a:t>
            </a:fld>
            <a:endParaRPr lang="en-AU" sz="800" b="0">
              <a:ln>
                <a:noFill/>
              </a:ln>
              <a:solidFill>
                <a:sysClr val="windowText" lastClr="000000"/>
              </a:solidFill>
            </a:endParaRPr>
          </a:p>
        </xdr:txBody>
      </xdr:sp>
      <xdr:sp macro="" textlink="Disclaimer">
        <xdr:nvSpPr>
          <xdr:cNvPr id="12" name="DisclaimerBox">
            <a:extLst>
              <a:ext uri="{FF2B5EF4-FFF2-40B4-BE49-F238E27FC236}">
                <a16:creationId xmlns:a16="http://schemas.microsoft.com/office/drawing/2014/main" id="{00000000-0008-0000-0800-00000C000000}"/>
              </a:ext>
            </a:extLst>
          </xdr:cNvPr>
          <xdr:cNvSpPr txBox="1">
            <a:spLocks noChangeArrowheads="1"/>
          </xdr:cNvSpPr>
        </xdr:nvSpPr>
        <xdr:spPr bwMode="auto">
          <a:xfrm>
            <a:off x="15516225" y="339286"/>
            <a:ext cx="6600600" cy="215226"/>
          </a:xfrm>
          <a:prstGeom prst="rect">
            <a:avLst/>
          </a:prstGeom>
          <a:noFill/>
          <a:ln w="9525">
            <a:noFill/>
            <a:miter lim="800000"/>
            <a:headEnd/>
            <a:tailEnd/>
          </a:ln>
        </xdr:spPr>
        <xdr:txBody>
          <a:bodyPr vertOverflow="clip" horzOverflow="clip" wrap="none" lIns="0" tIns="0" rIns="0" bIns="0" anchor="ctr" anchorCtr="0" upright="1"/>
          <a:lstStyle/>
          <a:p>
            <a:pPr algn="l" rtl="0">
              <a:defRPr sz="1000"/>
            </a:pPr>
            <a:r>
              <a:rPr lang="en-AU" sz="800" b="0" i="0" u="none" strike="noStrike" baseline="0">
                <a:solidFill>
                  <a:srgbClr val="FF0000"/>
                </a:solidFill>
                <a:latin typeface="Arial" pitchFamily="34" charset="0"/>
                <a:cs typeface="Arial" pitchFamily="34" charset="0"/>
              </a:rPr>
              <a:t>Disclaimer: This spreadsheet tool has not been formally verified. The person using this spreadsheet is responsible for its use.</a:t>
            </a:r>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bwMode="auto">
          <a:xfrm>
            <a:off x="15520869" y="833238"/>
            <a:ext cx="3660618"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Project:</a:t>
            </a:r>
            <a:endParaRPr lang="en-AU" sz="800">
              <a:effectLst/>
              <a:latin typeface="Arial" pitchFamily="34" charset="0"/>
              <a:cs typeface="Arial" pitchFamily="34" charset="0"/>
            </a:endParaRPr>
          </a:p>
        </xdr:txBody>
      </xdr:sp>
      <xdr:sp macro="" textlink="">
        <xdr:nvSpPr>
          <xdr:cNvPr id="14" name="Rectangle 13">
            <a:extLst>
              <a:ext uri="{FF2B5EF4-FFF2-40B4-BE49-F238E27FC236}">
                <a16:creationId xmlns:a16="http://schemas.microsoft.com/office/drawing/2014/main" id="{00000000-0008-0000-0800-00000E000000}"/>
              </a:ext>
            </a:extLst>
          </xdr:cNvPr>
          <xdr:cNvSpPr/>
        </xdr:nvSpPr>
        <xdr:spPr bwMode="auto">
          <a:xfrm>
            <a:off x="15520869" y="1120380"/>
            <a:ext cx="3660618" cy="28714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Subject:</a:t>
            </a:r>
            <a:endParaRPr lang="en-AU" sz="800">
              <a:latin typeface="Arial" pitchFamily="34" charset="0"/>
              <a:cs typeface="Arial" pitchFamily="34" charset="0"/>
            </a:endParaRPr>
          </a:p>
        </xdr:txBody>
      </xdr:sp>
      <xdr:sp macro="" textlink="">
        <xdr:nvSpPr>
          <xdr:cNvPr id="15" name="Rectangle 14">
            <a:extLst>
              <a:ext uri="{FF2B5EF4-FFF2-40B4-BE49-F238E27FC236}">
                <a16:creationId xmlns:a16="http://schemas.microsoft.com/office/drawing/2014/main" id="{00000000-0008-0000-0800-00000F000000}"/>
              </a:ext>
            </a:extLst>
          </xdr:cNvPr>
          <xdr:cNvSpPr/>
        </xdr:nvSpPr>
        <xdr:spPr bwMode="auto">
          <a:xfrm>
            <a:off x="20732634" y="544734"/>
            <a:ext cx="1389150"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Date:</a:t>
            </a:r>
          </a:p>
        </xdr:txBody>
      </xdr:sp>
      <xdr:sp macro="" textlink="">
        <xdr:nvSpPr>
          <xdr:cNvPr id="16" name="Rectangle 15">
            <a:extLst>
              <a:ext uri="{FF2B5EF4-FFF2-40B4-BE49-F238E27FC236}">
                <a16:creationId xmlns:a16="http://schemas.microsoft.com/office/drawing/2014/main" id="{00000000-0008-0000-0800-000010000000}"/>
              </a:ext>
            </a:extLst>
          </xdr:cNvPr>
          <xdr:cNvSpPr/>
        </xdr:nvSpPr>
        <xdr:spPr bwMode="auto">
          <a:xfrm>
            <a:off x="19181488" y="833238"/>
            <a:ext cx="2939250" cy="287142"/>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Project number:</a:t>
            </a:r>
          </a:p>
        </xdr:txBody>
      </xdr:sp>
      <xdr:sp macro="" textlink="">
        <xdr:nvSpPr>
          <xdr:cNvPr id="17" name="Rectangle 16">
            <a:extLst>
              <a:ext uri="{FF2B5EF4-FFF2-40B4-BE49-F238E27FC236}">
                <a16:creationId xmlns:a16="http://schemas.microsoft.com/office/drawing/2014/main" id="{00000000-0008-0000-0800-000011000000}"/>
              </a:ext>
            </a:extLst>
          </xdr:cNvPr>
          <xdr:cNvSpPr/>
        </xdr:nvSpPr>
        <xdr:spPr bwMode="auto">
          <a:xfrm>
            <a:off x="20753094" y="1120379"/>
            <a:ext cx="1370100" cy="287145"/>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By:</a:t>
            </a:r>
          </a:p>
        </xdr:txBody>
      </xdr:sp>
      <xdr:sp macro="" textlink="">
        <xdr:nvSpPr>
          <xdr:cNvPr id="18" name="Rectangle 17">
            <a:extLst>
              <a:ext uri="{FF2B5EF4-FFF2-40B4-BE49-F238E27FC236}">
                <a16:creationId xmlns:a16="http://schemas.microsoft.com/office/drawing/2014/main" id="{00000000-0008-0000-0800-000012000000}"/>
              </a:ext>
            </a:extLst>
          </xdr:cNvPr>
          <xdr:cNvSpPr/>
        </xdr:nvSpPr>
        <xdr:spPr bwMode="auto">
          <a:xfrm>
            <a:off x="19181487" y="1120380"/>
            <a:ext cx="1571607" cy="287143"/>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algn="l"/>
            <a:r>
              <a:rPr lang="en-AU" sz="800">
                <a:latin typeface="Arial" pitchFamily="34" charset="0"/>
                <a:cs typeface="Arial" pitchFamily="34" charset="0"/>
              </a:rPr>
              <a:t>Revision:</a:t>
            </a:r>
          </a:p>
        </xdr:txBody>
      </xdr:sp>
      <xdr:sp macro="" textlink="SpreadsheetName">
        <xdr:nvSpPr>
          <xdr:cNvPr id="19" name="TextBox 18">
            <a:extLst>
              <a:ext uri="{FF2B5EF4-FFF2-40B4-BE49-F238E27FC236}">
                <a16:creationId xmlns:a16="http://schemas.microsoft.com/office/drawing/2014/main" id="{00000000-0008-0000-0800-000013000000}"/>
              </a:ext>
            </a:extLst>
          </xdr:cNvPr>
          <xdr:cNvSpPr txBox="1"/>
        </xdr:nvSpPr>
        <xdr:spPr bwMode="auto">
          <a:xfrm>
            <a:off x="15516225" y="79277"/>
            <a:ext cx="6609367" cy="186288"/>
          </a:xfrm>
          <a:prstGeom prst="rect">
            <a:avLst/>
          </a:prstGeom>
          <a:solidFill>
            <a:srgbClr val="FFFFFF"/>
          </a:solidFill>
          <a:ln w="12700">
            <a:noFill/>
            <a:miter lim="800000"/>
            <a:headEnd/>
            <a:tailEnd/>
          </a:ln>
        </xdr:spPr>
        <xdr:txBody>
          <a:bodyPr vertOverflow="clip" horzOverflow="clip" wrap="square" lIns="0" tIns="0" bIns="54000" rtlCol="0" anchor="ctr" anchorCtr="0"/>
          <a:lstStyle/>
          <a:p>
            <a:fld id="{B9A8030C-BE30-4BF5-BFE5-131EC3A0D649}" type="TxLink">
              <a:rPr lang="en-AU" sz="1300" b="1">
                <a:latin typeface="Arial" pitchFamily="34" charset="0"/>
                <a:cs typeface="Arial" pitchFamily="34" charset="0"/>
              </a:rPr>
              <a:pPr/>
              <a:t>Structural Pit Calculation</a:t>
            </a:fld>
            <a:endParaRPr lang="en-AU" sz="1300" b="1">
              <a:latin typeface="Arial" pitchFamily="34" charset="0"/>
              <a:cs typeface="Arial" pitchFamily="34" charset="0"/>
            </a:endParaRPr>
          </a:p>
        </xdr:txBody>
      </xdr:sp>
      <xdr:sp macro="" textlink="pwDocCode">
        <xdr:nvSpPr>
          <xdr:cNvPr id="20" name="Text Box 46">
            <a:extLst>
              <a:ext uri="{FF2B5EF4-FFF2-40B4-BE49-F238E27FC236}">
                <a16:creationId xmlns:a16="http://schemas.microsoft.com/office/drawing/2014/main" id="{00000000-0008-0000-0800-000014000000}"/>
              </a:ext>
            </a:extLst>
          </xdr:cNvPr>
          <xdr:cNvSpPr txBox="1">
            <a:spLocks noChangeArrowheads="1"/>
          </xdr:cNvSpPr>
        </xdr:nvSpPr>
        <xdr:spPr bwMode="auto">
          <a:xfrm>
            <a:off x="16031469" y="267695"/>
            <a:ext cx="1629623" cy="206919"/>
          </a:xfrm>
          <a:prstGeom prst="rect">
            <a:avLst/>
          </a:prstGeom>
          <a:noFill/>
          <a:ln w="9525">
            <a:noFill/>
            <a:miter lim="800000"/>
            <a:headEnd/>
            <a:tailEnd/>
          </a:ln>
        </xdr:spPr>
        <xdr:txBody>
          <a:bodyPr vertOverflow="clip" horzOverflow="clip" wrap="none" lIns="0" tIns="0" rIns="0" bIns="108000" anchor="ctr" anchorCtr="0" upright="1"/>
          <a:lstStyle/>
          <a:p>
            <a:fld id="{9EF03C56-9C3F-43C7-A431-E7B8EC06763A}"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21" name="Text Box 46">
            <a:extLst>
              <a:ext uri="{FF2B5EF4-FFF2-40B4-BE49-F238E27FC236}">
                <a16:creationId xmlns:a16="http://schemas.microsoft.com/office/drawing/2014/main" id="{00000000-0008-0000-0800-000015000000}"/>
              </a:ext>
            </a:extLst>
          </xdr:cNvPr>
          <xdr:cNvSpPr txBox="1">
            <a:spLocks noChangeArrowheads="1"/>
          </xdr:cNvSpPr>
        </xdr:nvSpPr>
        <xdr:spPr bwMode="auto">
          <a:xfrm>
            <a:off x="15516226" y="266721"/>
            <a:ext cx="448362"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Doc code</a:t>
            </a:r>
            <a:r>
              <a:rPr lang="en-US" sz="800">
                <a:latin typeface="Arial" pitchFamily="34" charset="0"/>
                <a:cs typeface="Arial" pitchFamily="34" charset="0"/>
              </a:rPr>
              <a:t>:</a:t>
            </a:r>
          </a:p>
        </xdr:txBody>
      </xdr:sp>
      <xdr:sp macro="" textlink="client">
        <xdr:nvSpPr>
          <xdr:cNvPr id="22" name="Text Box 39">
            <a:extLst>
              <a:ext uri="{FF2B5EF4-FFF2-40B4-BE49-F238E27FC236}">
                <a16:creationId xmlns:a16="http://schemas.microsoft.com/office/drawing/2014/main" id="{00000000-0008-0000-0800-000016000000}"/>
              </a:ext>
            </a:extLst>
          </xdr:cNvPr>
          <xdr:cNvSpPr txBox="1">
            <a:spLocks noChangeArrowheads="1" noTextEdit="1"/>
          </xdr:cNvSpPr>
        </xdr:nvSpPr>
        <xdr:spPr bwMode="auto">
          <a:xfrm>
            <a:off x="16043399" y="544734"/>
            <a:ext cx="4688820" cy="288504"/>
          </a:xfrm>
          <a:prstGeom prst="rect">
            <a:avLst/>
          </a:prstGeom>
          <a:solidFill>
            <a:srgbClr val="FFFFFF"/>
          </a:solidFill>
          <a:ln w="12700">
            <a:noFill/>
            <a:miter lim="800000"/>
            <a:headEnd/>
            <a:tailEnd/>
          </a:ln>
        </xdr:spPr>
        <xdr:txBody>
          <a:bodyPr vertOverflow="clip" horzOverflow="clip" wrap="none" lIns="0" anchor="ctr" anchorCtr="0"/>
          <a:lstStyle/>
          <a:p>
            <a:fld id="{999E4E70-C30E-40EF-BC70-5BE6020C9D34}"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
        <xdr:nvSpPr>
          <xdr:cNvPr id="23" name="Rectangle 22">
            <a:extLst>
              <a:ext uri="{FF2B5EF4-FFF2-40B4-BE49-F238E27FC236}">
                <a16:creationId xmlns:a16="http://schemas.microsoft.com/office/drawing/2014/main" id="{00000000-0008-0000-0800-000017000000}"/>
              </a:ext>
            </a:extLst>
          </xdr:cNvPr>
          <xdr:cNvSpPr/>
        </xdr:nvSpPr>
        <xdr:spPr bwMode="auto">
          <a:xfrm>
            <a:off x="15520869" y="544734"/>
            <a:ext cx="5211765" cy="288504"/>
          </a:xfrm>
          <a:prstGeom prst="rect">
            <a:avLst/>
          </a:prstGeom>
          <a:noFill/>
          <a:ln w="9525" cap="flat" cmpd="sng" algn="ctr">
            <a:solidFill>
              <a:srgbClr val="000000"/>
            </a:solidFill>
            <a:prstDash val="solid"/>
            <a:round/>
            <a:headEnd type="none" w="med" len="med"/>
            <a:tailEnd type="none" w="med" len="med"/>
          </a:ln>
          <a:effectLst/>
        </xdr:spPr>
        <xdr:txBody>
          <a:bodyPr vertOverflow="clip" horzOverflow="clip" wrap="square" lIns="36000" tIns="0" rIns="0" bIns="0" rtlCol="0" anchor="ctr" anchorCtr="0" upright="1"/>
          <a:lstStyle/>
          <a:p>
            <a:pPr marL="0" marR="0" indent="0" algn="l" defTabSz="914400" eaLnBrk="1" fontAlgn="auto" latinLnBrk="0" hangingPunct="1">
              <a:lnSpc>
                <a:spcPct val="100000"/>
              </a:lnSpc>
              <a:spcBef>
                <a:spcPts val="0"/>
              </a:spcBef>
              <a:spcAft>
                <a:spcPts val="0"/>
              </a:spcAft>
              <a:buClrTx/>
              <a:buSzTx/>
              <a:buFontTx/>
              <a:buNone/>
              <a:tabLst/>
              <a:defRPr/>
            </a:pPr>
            <a:r>
              <a:rPr lang="en-US" sz="800">
                <a:effectLst/>
                <a:latin typeface="Arial" pitchFamily="34" charset="0"/>
                <a:ea typeface="+mn-ea"/>
                <a:cs typeface="Arial" pitchFamily="34" charset="0"/>
              </a:rPr>
              <a:t>Client:</a:t>
            </a:r>
            <a:endParaRPr lang="en-AU" sz="800">
              <a:effectLst/>
              <a:latin typeface="Arial" pitchFamily="34" charset="0"/>
              <a:cs typeface="Arial" pitchFamily="34" charset="0"/>
            </a:endParaRPr>
          </a:p>
        </xdr:txBody>
      </xdr:sp>
      <xdr:sp macro="" textlink="Revision">
        <xdr:nvSpPr>
          <xdr:cNvPr id="24" name="Text Box 39">
            <a:extLst>
              <a:ext uri="{FF2B5EF4-FFF2-40B4-BE49-F238E27FC236}">
                <a16:creationId xmlns:a16="http://schemas.microsoft.com/office/drawing/2014/main" id="{00000000-0008-0000-0800-000018000000}"/>
              </a:ext>
            </a:extLst>
          </xdr:cNvPr>
          <xdr:cNvSpPr txBox="1">
            <a:spLocks noChangeArrowheads="1" noTextEdit="1"/>
          </xdr:cNvSpPr>
        </xdr:nvSpPr>
        <xdr:spPr bwMode="auto">
          <a:xfrm>
            <a:off x="19743402" y="1140823"/>
            <a:ext cx="933450" cy="257175"/>
          </a:xfrm>
          <a:prstGeom prst="rect">
            <a:avLst/>
          </a:prstGeom>
          <a:solidFill>
            <a:srgbClr val="FFFFFF"/>
          </a:solidFill>
          <a:ln w="12700">
            <a:noFill/>
            <a:miter lim="800000"/>
            <a:headEnd/>
            <a:tailEnd/>
          </a:ln>
        </xdr:spPr>
        <xdr:txBody>
          <a:bodyPr vertOverflow="clip" horzOverflow="clip" wrap="none" lIns="0" anchor="ctr" anchorCtr="0"/>
          <a:lstStyle/>
          <a:p>
            <a:fld id="{61089885-0EB8-47CF-9121-94C55E7C6DD1}" type="TxLink">
              <a:rPr lang="en-AU" sz="800" b="0" i="0" u="none" strike="noStrike">
                <a:ln>
                  <a:noFill/>
                </a:ln>
                <a:solidFill>
                  <a:sysClr val="windowText" lastClr="000000"/>
                </a:solidFill>
                <a:latin typeface="Arial"/>
                <a:cs typeface="Arial"/>
              </a:rPr>
              <a:pPr/>
              <a:t> </a:t>
            </a:fld>
            <a:endParaRPr lang="en-AU" sz="800" b="0">
              <a:ln>
                <a:noFill/>
              </a:ln>
              <a:solidFill>
                <a:sysClr val="windowText" lastClr="000000"/>
              </a:solidFill>
            </a:endParaRPr>
          </a:p>
        </xdr:txBody>
      </xdr:sp>
      <xdr:sp macro="" textlink="pwVersion">
        <xdr:nvSpPr>
          <xdr:cNvPr id="26" name="Text Box 46">
            <a:extLst>
              <a:ext uri="{FF2B5EF4-FFF2-40B4-BE49-F238E27FC236}">
                <a16:creationId xmlns:a16="http://schemas.microsoft.com/office/drawing/2014/main" id="{00000000-0008-0000-0800-00001A000000}"/>
              </a:ext>
            </a:extLst>
          </xdr:cNvPr>
          <xdr:cNvSpPr txBox="1">
            <a:spLocks noChangeArrowheads="1"/>
          </xdr:cNvSpPr>
        </xdr:nvSpPr>
        <xdr:spPr bwMode="auto">
          <a:xfrm>
            <a:off x="18383663" y="267695"/>
            <a:ext cx="183574" cy="198763"/>
          </a:xfrm>
          <a:prstGeom prst="rect">
            <a:avLst/>
          </a:prstGeom>
          <a:noFill/>
          <a:ln w="9525">
            <a:noFill/>
            <a:miter lim="800000"/>
            <a:headEnd/>
            <a:tailEnd/>
          </a:ln>
        </xdr:spPr>
        <xdr:txBody>
          <a:bodyPr vertOverflow="clip" horzOverflow="clip" wrap="none" lIns="0" tIns="0" rIns="0" bIns="108000" anchor="ctr" anchorCtr="0" upright="1"/>
          <a:lstStyle/>
          <a:p>
            <a:fld id="{C39E1081-ABBF-4B9D-AD07-436A5B486249}" type="TxLink">
              <a:rPr lang="en-US" sz="800" b="0" i="1" u="none" strike="noStrike">
                <a:solidFill>
                  <a:srgbClr val="000000"/>
                </a:solidFill>
                <a:latin typeface="Arial"/>
                <a:cs typeface="Arial"/>
              </a:rPr>
              <a:pPr/>
              <a:t> </a:t>
            </a:fld>
            <a:endParaRPr lang="en-US" sz="800" i="1">
              <a:latin typeface="Arial" pitchFamily="34" charset="0"/>
              <a:cs typeface="Arial" pitchFamily="34" charset="0"/>
            </a:endParaRPr>
          </a:p>
        </xdr:txBody>
      </xdr:sp>
      <xdr:sp macro="" textlink="">
        <xdr:nvSpPr>
          <xdr:cNvPr id="27" name="Text Box 46">
            <a:extLst>
              <a:ext uri="{FF2B5EF4-FFF2-40B4-BE49-F238E27FC236}">
                <a16:creationId xmlns:a16="http://schemas.microsoft.com/office/drawing/2014/main" id="{00000000-0008-0000-0800-00001B000000}"/>
              </a:ext>
            </a:extLst>
          </xdr:cNvPr>
          <xdr:cNvSpPr txBox="1">
            <a:spLocks noChangeArrowheads="1"/>
          </xdr:cNvSpPr>
        </xdr:nvSpPr>
        <xdr:spPr bwMode="auto">
          <a:xfrm>
            <a:off x="17734042" y="266723"/>
            <a:ext cx="643831" cy="197808"/>
          </a:xfrm>
          <a:prstGeom prst="rect">
            <a:avLst/>
          </a:prstGeom>
          <a:noFill/>
          <a:ln w="9525">
            <a:noFill/>
            <a:miter lim="800000"/>
            <a:headEnd/>
            <a:tailEnd/>
          </a:ln>
        </xdr:spPr>
        <xdr:txBody>
          <a:bodyPr vertOverflow="clip" horzOverflow="clip" wrap="none" lIns="0" tIns="0" rIns="0" bIns="108000" anchor="ctr" anchorCtr="0" upright="1"/>
          <a:lstStyle/>
          <a:p>
            <a:r>
              <a:rPr lang="en-US" sz="800" i="1">
                <a:latin typeface="Arial" pitchFamily="34" charset="0"/>
                <a:cs typeface="Arial" pitchFamily="34" charset="0"/>
              </a:rPr>
              <a:t>PW Version</a:t>
            </a:r>
            <a:r>
              <a:rPr lang="en-US" sz="800">
                <a:latin typeface="Arial" pitchFamily="34" charset="0"/>
                <a:cs typeface="Arial" pitchFamily="34" charset="0"/>
              </a:rPr>
              <a:t>:</a:t>
            </a:r>
          </a:p>
        </xdr:txBody>
      </xdr:sp>
    </xdr:grpSp>
    <xdr:clientData/>
  </xdr:twoCellAnchor>
</xdr:wsDr>
</file>

<file path=xl/theme/theme1.xml><?xml version="1.0" encoding="utf-8"?>
<a:theme xmlns:a="http://schemas.openxmlformats.org/drawingml/2006/main" name="Office Theme">
  <a:themeElements>
    <a:clrScheme name="Aurecon">
      <a:dk1>
        <a:srgbClr val="353D30"/>
      </a:dk1>
      <a:lt1>
        <a:sysClr val="window" lastClr="FFFFFF"/>
      </a:lt1>
      <a:dk2>
        <a:srgbClr val="009FDA"/>
      </a:dk2>
      <a:lt2>
        <a:srgbClr val="F1F8E5"/>
      </a:lt2>
      <a:accent1>
        <a:srgbClr val="7AB800"/>
      </a:accent1>
      <a:accent2>
        <a:srgbClr val="353D30"/>
      </a:accent2>
      <a:accent3>
        <a:srgbClr val="BABFB7"/>
      </a:accent3>
      <a:accent4>
        <a:srgbClr val="EFF0EF"/>
      </a:accent4>
      <a:accent5>
        <a:srgbClr val="C4E58E"/>
      </a:accent5>
      <a:accent6>
        <a:srgbClr val="FCD450"/>
      </a:accent6>
      <a:hlink>
        <a:srgbClr val="000000"/>
      </a:hlink>
      <a:folHlink>
        <a:srgbClr val="00000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txDef>
      <a:spPr bwMode="auto">
        <a:solidFill>
          <a:srgbClr val="FFFFFF"/>
        </a:solidFill>
        <a:ln w="12700">
          <a:noFill/>
          <a:miter lim="800000"/>
          <a:headEnd/>
          <a:tailEnd/>
        </a:ln>
      </a:spPr>
      <a:bodyPr/>
      <a:lstStyle>
        <a:defPPr>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ctrlProp" Target="../ctrlProps/ctrlProp2.xml"/><Relationship Id="rId3" Type="http://schemas.openxmlformats.org/officeDocument/2006/relationships/drawing" Target="../drawings/drawing1.xml"/><Relationship Id="rId7" Type="http://schemas.openxmlformats.org/officeDocument/2006/relationships/image" Target="../media/image1.emf"/><Relationship Id="rId12" Type="http://schemas.openxmlformats.org/officeDocument/2006/relationships/ctrlProp" Target="../ctrlProps/ctrlProp1.xml"/><Relationship Id="rId2" Type="http://schemas.openxmlformats.org/officeDocument/2006/relationships/printerSettings" Target="../printerSettings/printerSettings1.bin"/><Relationship Id="rId16" Type="http://schemas.openxmlformats.org/officeDocument/2006/relationships/ctrlProp" Target="../ctrlProps/ctrlProp5.xml"/><Relationship Id="rId1" Type="http://schemas.openxmlformats.org/officeDocument/2006/relationships/hyperlink" Target="mailto:spreadsheetfeedback@aurecongroup.com" TargetMode="External"/><Relationship Id="rId6" Type="http://schemas.openxmlformats.org/officeDocument/2006/relationships/control" Target="../activeX/activeX1.xml"/><Relationship Id="rId11" Type="http://schemas.openxmlformats.org/officeDocument/2006/relationships/image" Target="../media/image3.emf"/><Relationship Id="rId5" Type="http://schemas.openxmlformats.org/officeDocument/2006/relationships/vmlDrawing" Target="../drawings/vmlDrawing2.vml"/><Relationship Id="rId15" Type="http://schemas.openxmlformats.org/officeDocument/2006/relationships/ctrlProp" Target="../ctrlProps/ctrlProp4.xml"/><Relationship Id="rId10" Type="http://schemas.openxmlformats.org/officeDocument/2006/relationships/control" Target="../activeX/activeX3.xml"/><Relationship Id="rId4" Type="http://schemas.openxmlformats.org/officeDocument/2006/relationships/vmlDrawing" Target="../drawings/vmlDrawing1.vml"/><Relationship Id="rId9" Type="http://schemas.openxmlformats.org/officeDocument/2006/relationships/image" Target="../media/image2.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4.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vmlDrawing" Target="../drawings/vmlDrawing1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353D30"/>
  </sheetPr>
  <dimension ref="A1:Z163"/>
  <sheetViews>
    <sheetView view="pageBreakPreview" zoomScaleNormal="100" zoomScaleSheetLayoutView="100" zoomScalePageLayoutView="110" workbookViewId="0"/>
  </sheetViews>
  <sheetFormatPr defaultColWidth="9.28515625" defaultRowHeight="13.2" x14ac:dyDescent="0.2"/>
  <cols>
    <col min="1" max="13" width="8.85546875" style="1" customWidth="1"/>
    <col min="14" max="26" width="9.140625" style="1" customWidth="1"/>
    <col min="27" max="16384" width="9.28515625" style="1"/>
  </cols>
  <sheetData>
    <row r="1" spans="1:26" ht="15.75" customHeight="1" x14ac:dyDescent="0.2">
      <c r="A1" s="96" t="s">
        <v>222</v>
      </c>
      <c r="N1" s="60" t="s">
        <v>85</v>
      </c>
      <c r="O1" s="28"/>
      <c r="P1" s="28"/>
      <c r="Q1" s="28"/>
      <c r="R1" s="28"/>
      <c r="S1" s="28"/>
      <c r="T1" s="28"/>
      <c r="U1" s="28"/>
      <c r="V1" s="28"/>
      <c r="W1" s="28"/>
      <c r="X1" s="28"/>
      <c r="Y1" s="28"/>
      <c r="Z1" s="28"/>
    </row>
    <row r="2" spans="1:26" ht="11.25" customHeight="1" x14ac:dyDescent="0.2">
      <c r="A2" s="97" t="s">
        <v>223</v>
      </c>
      <c r="B2" s="102" t="str">
        <f ca="1">pwproperty("PW_ENV_DocCode")</f>
        <v/>
      </c>
      <c r="F2" s="98" t="s">
        <v>218</v>
      </c>
      <c r="G2" s="97" t="str">
        <f ca="1">pwproperty("PW_ENV_Ver")</f>
        <v/>
      </c>
      <c r="H2" s="97"/>
      <c r="N2" s="60"/>
      <c r="O2" s="28"/>
      <c r="P2" s="28"/>
      <c r="Q2" s="28"/>
      <c r="R2" s="28"/>
      <c r="S2" s="28"/>
      <c r="T2" s="28"/>
      <c r="U2" s="28"/>
      <c r="V2" s="28"/>
      <c r="W2" s="28"/>
      <c r="X2" s="28"/>
      <c r="Y2" s="28"/>
      <c r="Z2" s="28"/>
    </row>
    <row r="3" spans="1:26" ht="15.75" customHeight="1" x14ac:dyDescent="0.2">
      <c r="B3" s="49"/>
      <c r="C3" s="49"/>
      <c r="D3" s="49"/>
      <c r="E3" s="49"/>
      <c r="F3" s="49"/>
      <c r="G3" s="49"/>
      <c r="H3" s="49"/>
      <c r="I3" s="49"/>
      <c r="J3" s="49"/>
      <c r="K3" s="49"/>
      <c r="L3" s="49"/>
      <c r="M3" s="49"/>
      <c r="N3" s="28"/>
      <c r="O3" s="28"/>
      <c r="P3" s="28"/>
      <c r="Q3" s="28"/>
      <c r="R3" s="28"/>
      <c r="S3" s="35"/>
      <c r="T3" s="35"/>
      <c r="U3" s="35"/>
      <c r="V3" s="35"/>
      <c r="W3" s="28"/>
      <c r="X3" s="28"/>
      <c r="Y3" s="28"/>
      <c r="Z3" s="28"/>
    </row>
    <row r="4" spans="1:26" ht="22.5" customHeight="1" x14ac:dyDescent="0.2">
      <c r="A4" s="23" t="s">
        <v>1</v>
      </c>
      <c r="B4" s="219"/>
      <c r="C4" s="220"/>
      <c r="D4" s="220"/>
      <c r="E4" s="220"/>
      <c r="F4" s="220"/>
      <c r="G4" s="220"/>
      <c r="H4" s="220"/>
      <c r="I4" s="220"/>
      <c r="J4" s="221"/>
      <c r="K4" s="25" t="s">
        <v>0</v>
      </c>
      <c r="L4" s="217" t="str">
        <f ca="1">pwproperty("PW_ENV_Date")</f>
        <v/>
      </c>
      <c r="M4" s="218"/>
      <c r="N4" s="28"/>
      <c r="O4" s="28"/>
      <c r="P4" s="28"/>
      <c r="Q4" s="28"/>
      <c r="R4" s="28"/>
      <c r="S4" s="28"/>
      <c r="T4" s="28"/>
      <c r="U4" s="28"/>
      <c r="V4" s="194"/>
      <c r="W4" s="194"/>
      <c r="X4" s="194"/>
      <c r="Y4" s="194"/>
      <c r="Z4" s="194"/>
    </row>
    <row r="5" spans="1:26" ht="22.5" customHeight="1" x14ac:dyDescent="0.2">
      <c r="A5" s="23" t="s">
        <v>2</v>
      </c>
      <c r="B5" s="222" t="s">
        <v>227</v>
      </c>
      <c r="C5" s="222"/>
      <c r="D5" s="222"/>
      <c r="E5" s="222"/>
      <c r="F5" s="222"/>
      <c r="G5" s="222"/>
      <c r="H5" s="223" t="s">
        <v>54</v>
      </c>
      <c r="I5" s="223"/>
      <c r="J5" s="222"/>
      <c r="K5" s="222"/>
      <c r="L5" s="222"/>
      <c r="M5" s="222"/>
      <c r="N5" s="28"/>
      <c r="O5" s="28"/>
      <c r="P5" s="28"/>
      <c r="Q5" s="28"/>
      <c r="R5" s="28"/>
      <c r="S5" s="28"/>
      <c r="T5" s="28"/>
      <c r="U5" s="28"/>
      <c r="V5" s="194"/>
      <c r="W5" s="194"/>
      <c r="X5" s="194"/>
      <c r="Y5" s="194"/>
      <c r="Z5" s="194"/>
    </row>
    <row r="6" spans="1:26" ht="22.5" customHeight="1" x14ac:dyDescent="0.2">
      <c r="A6" s="23" t="s">
        <v>202</v>
      </c>
      <c r="B6" s="222" t="s">
        <v>228</v>
      </c>
      <c r="C6" s="222"/>
      <c r="D6" s="222"/>
      <c r="E6" s="222"/>
      <c r="F6" s="222"/>
      <c r="G6" s="222"/>
      <c r="H6" s="223" t="s">
        <v>51</v>
      </c>
      <c r="I6" s="223"/>
      <c r="J6" s="99"/>
      <c r="K6" s="23" t="s">
        <v>76</v>
      </c>
      <c r="L6" s="219" t="s">
        <v>226</v>
      </c>
      <c r="M6" s="221"/>
      <c r="N6" s="28"/>
      <c r="O6" s="28"/>
      <c r="P6" s="28"/>
      <c r="Q6" s="28"/>
      <c r="R6" s="28"/>
      <c r="S6" s="28"/>
      <c r="T6" s="28"/>
      <c r="U6" s="28"/>
      <c r="V6" s="28"/>
      <c r="W6" s="28"/>
      <c r="X6" s="28"/>
      <c r="Y6" s="28"/>
      <c r="Z6" s="28"/>
    </row>
    <row r="7" spans="1:26" ht="15.75" customHeight="1" x14ac:dyDescent="0.2">
      <c r="N7" s="28"/>
      <c r="O7" s="28"/>
      <c r="P7" s="28"/>
      <c r="Q7" s="28"/>
      <c r="R7" s="28"/>
      <c r="S7" s="28"/>
      <c r="T7" s="28"/>
      <c r="U7" s="28"/>
      <c r="V7" s="195"/>
      <c r="W7" s="195"/>
      <c r="X7" s="195"/>
      <c r="Y7" s="195"/>
      <c r="Z7" s="195"/>
    </row>
    <row r="8" spans="1:26" ht="15.75" customHeight="1" x14ac:dyDescent="0.2">
      <c r="A8" s="8" t="s">
        <v>55</v>
      </c>
      <c r="B8" s="8"/>
      <c r="C8" s="8"/>
      <c r="D8" s="8"/>
      <c r="E8" s="8"/>
      <c r="F8" s="8"/>
      <c r="G8" s="8"/>
      <c r="H8" s="8"/>
      <c r="I8" s="8"/>
      <c r="J8" s="8"/>
      <c r="K8" s="8"/>
      <c r="L8" s="8"/>
      <c r="M8" s="8"/>
      <c r="N8" s="28"/>
      <c r="O8" s="75"/>
      <c r="P8" s="75"/>
      <c r="Q8" s="28"/>
      <c r="R8" s="28"/>
      <c r="S8" s="28"/>
      <c r="T8" s="28"/>
      <c r="U8" s="28"/>
      <c r="V8" s="28"/>
      <c r="W8" s="28"/>
      <c r="X8" s="28"/>
      <c r="Y8" s="28"/>
      <c r="Z8" s="28"/>
    </row>
    <row r="9" spans="1:26" ht="15.75" customHeight="1" x14ac:dyDescent="0.2">
      <c r="A9" s="224" t="s">
        <v>216</v>
      </c>
      <c r="B9" s="225"/>
      <c r="C9" s="225"/>
      <c r="D9" s="225"/>
      <c r="E9" s="225"/>
      <c r="F9" s="225"/>
      <c r="G9" s="225"/>
      <c r="H9" s="225"/>
      <c r="I9" s="225"/>
      <c r="J9" s="225"/>
      <c r="K9" s="225"/>
      <c r="L9" s="225"/>
      <c r="M9" s="226"/>
      <c r="N9" s="28"/>
      <c r="O9" s="76"/>
      <c r="P9" s="76"/>
      <c r="Q9" s="28"/>
      <c r="R9" s="28"/>
      <c r="S9" s="28"/>
      <c r="T9" s="52" t="s">
        <v>127</v>
      </c>
      <c r="U9" s="28"/>
      <c r="V9" s="28"/>
      <c r="W9" s="28"/>
      <c r="X9" s="28"/>
      <c r="Y9" s="28"/>
      <c r="Z9" s="28"/>
    </row>
    <row r="10" spans="1:26" ht="15.75" customHeight="1" x14ac:dyDescent="0.25">
      <c r="A10" s="227"/>
      <c r="B10" s="228"/>
      <c r="C10" s="228"/>
      <c r="D10" s="228"/>
      <c r="E10" s="228"/>
      <c r="F10" s="228"/>
      <c r="G10" s="228"/>
      <c r="H10" s="228"/>
      <c r="I10" s="228"/>
      <c r="J10" s="228"/>
      <c r="K10" s="228"/>
      <c r="L10" s="228"/>
      <c r="M10" s="229"/>
      <c r="N10" s="29"/>
      <c r="O10" s="75"/>
      <c r="P10" s="75"/>
      <c r="Q10" s="29"/>
      <c r="R10" s="29"/>
      <c r="S10" s="29"/>
      <c r="T10" s="29"/>
      <c r="U10" s="29"/>
      <c r="V10" s="29"/>
      <c r="W10" s="28"/>
      <c r="X10" s="28"/>
      <c r="Y10" s="28"/>
      <c r="Z10" s="28"/>
    </row>
    <row r="11" spans="1:26" ht="15.75" customHeight="1" x14ac:dyDescent="0.2">
      <c r="A11" s="227"/>
      <c r="B11" s="228"/>
      <c r="C11" s="228"/>
      <c r="D11" s="228"/>
      <c r="E11" s="228"/>
      <c r="F11" s="228"/>
      <c r="G11" s="228"/>
      <c r="H11" s="228"/>
      <c r="I11" s="228"/>
      <c r="J11" s="228"/>
      <c r="K11" s="228"/>
      <c r="L11" s="228"/>
      <c r="M11" s="229"/>
      <c r="N11" s="28"/>
      <c r="O11" s="75"/>
      <c r="P11" s="75"/>
      <c r="Q11" s="28"/>
      <c r="R11" s="28"/>
      <c r="S11" s="28"/>
      <c r="T11" s="28"/>
      <c r="U11" s="28"/>
      <c r="V11" s="28"/>
      <c r="W11" s="28"/>
      <c r="X11" s="28"/>
      <c r="Y11" s="28"/>
      <c r="Z11" s="28"/>
    </row>
    <row r="12" spans="1:26" ht="15.75" customHeight="1" x14ac:dyDescent="0.2">
      <c r="A12" s="230"/>
      <c r="B12" s="231"/>
      <c r="C12" s="231"/>
      <c r="D12" s="231"/>
      <c r="E12" s="231"/>
      <c r="F12" s="231"/>
      <c r="G12" s="231"/>
      <c r="H12" s="231"/>
      <c r="I12" s="231"/>
      <c r="J12" s="231"/>
      <c r="K12" s="231"/>
      <c r="L12" s="231"/>
      <c r="M12" s="232"/>
      <c r="N12" s="28"/>
      <c r="O12" s="75"/>
      <c r="P12" s="75"/>
      <c r="Q12" s="28"/>
      <c r="R12" s="28"/>
      <c r="S12" s="28"/>
      <c r="T12" s="28"/>
      <c r="U12" s="28"/>
      <c r="V12" s="28"/>
      <c r="W12" s="28"/>
      <c r="X12" s="28"/>
      <c r="Y12" s="28"/>
      <c r="Z12" s="28"/>
    </row>
    <row r="13" spans="1:26" ht="15.75" customHeight="1" x14ac:dyDescent="0.2">
      <c r="A13" s="8" t="s">
        <v>56</v>
      </c>
      <c r="B13" s="8"/>
      <c r="C13" s="8"/>
      <c r="D13" s="8"/>
      <c r="E13" s="8"/>
      <c r="F13" s="8"/>
      <c r="G13" s="8"/>
      <c r="H13" s="8"/>
      <c r="I13" s="8"/>
      <c r="J13" s="8"/>
      <c r="K13" s="8"/>
      <c r="L13" s="8"/>
      <c r="M13" s="8"/>
      <c r="N13" s="28"/>
      <c r="O13" s="77"/>
      <c r="P13" s="77"/>
      <c r="Q13" s="28"/>
      <c r="R13" s="28"/>
      <c r="S13" s="28"/>
      <c r="T13" s="28"/>
      <c r="U13" s="28"/>
      <c r="V13" s="28"/>
      <c r="W13" s="28"/>
      <c r="X13" s="28"/>
      <c r="Y13" s="28"/>
      <c r="Z13" s="28"/>
    </row>
    <row r="14" spans="1:26" ht="15.75" customHeight="1" x14ac:dyDescent="0.2">
      <c r="A14" s="233" t="s">
        <v>209</v>
      </c>
      <c r="B14" s="234"/>
      <c r="C14" s="234"/>
      <c r="D14" s="234"/>
      <c r="E14" s="234"/>
      <c r="F14" s="234"/>
      <c r="G14" s="234"/>
      <c r="H14" s="234"/>
      <c r="I14" s="234"/>
      <c r="J14" s="234"/>
      <c r="K14" s="234"/>
      <c r="L14" s="234"/>
      <c r="M14" s="235"/>
      <c r="N14" s="28"/>
      <c r="O14" s="77"/>
      <c r="P14" s="77"/>
      <c r="Q14" s="28"/>
      <c r="R14" s="28"/>
      <c r="S14" s="28"/>
      <c r="T14" s="28"/>
      <c r="U14" s="28"/>
      <c r="V14" s="28"/>
      <c r="W14" s="28"/>
      <c r="X14" s="28"/>
      <c r="Y14" s="28"/>
      <c r="Z14" s="28"/>
    </row>
    <row r="15" spans="1:26" ht="15.75" customHeight="1" x14ac:dyDescent="0.2">
      <c r="A15" s="236"/>
      <c r="B15" s="237"/>
      <c r="C15" s="237"/>
      <c r="D15" s="237"/>
      <c r="E15" s="237"/>
      <c r="F15" s="237"/>
      <c r="G15" s="237"/>
      <c r="H15" s="237"/>
      <c r="I15" s="237"/>
      <c r="J15" s="237"/>
      <c r="K15" s="237"/>
      <c r="L15" s="237"/>
      <c r="M15" s="238"/>
      <c r="N15" s="28"/>
      <c r="O15" s="77"/>
      <c r="P15" s="77"/>
      <c r="Q15" s="28"/>
      <c r="R15" s="28"/>
      <c r="S15" s="28"/>
      <c r="T15" s="28"/>
      <c r="U15" s="28"/>
      <c r="V15" s="28"/>
      <c r="W15" s="28"/>
      <c r="X15" s="28"/>
      <c r="Y15" s="28"/>
      <c r="Z15" s="28"/>
    </row>
    <row r="16" spans="1:26" ht="15.75" customHeight="1" x14ac:dyDescent="0.2">
      <c r="A16" s="236"/>
      <c r="B16" s="237"/>
      <c r="C16" s="237"/>
      <c r="D16" s="237"/>
      <c r="E16" s="237"/>
      <c r="F16" s="237"/>
      <c r="G16" s="237"/>
      <c r="H16" s="237"/>
      <c r="I16" s="237"/>
      <c r="J16" s="237"/>
      <c r="K16" s="237"/>
      <c r="L16" s="237"/>
      <c r="M16" s="238"/>
      <c r="N16" s="28"/>
      <c r="O16" s="75"/>
      <c r="P16" s="75"/>
      <c r="Q16" s="28"/>
      <c r="R16" s="28"/>
      <c r="S16" s="28"/>
      <c r="T16" s="28"/>
      <c r="U16" s="28"/>
      <c r="V16" s="28"/>
      <c r="W16" s="28"/>
      <c r="X16" s="28"/>
      <c r="Y16" s="28"/>
      <c r="Z16" s="28"/>
    </row>
    <row r="17" spans="1:26" ht="15.75" customHeight="1" x14ac:dyDescent="0.2">
      <c r="A17" s="239"/>
      <c r="B17" s="240"/>
      <c r="C17" s="240"/>
      <c r="D17" s="240"/>
      <c r="E17" s="240"/>
      <c r="F17" s="240"/>
      <c r="G17" s="240"/>
      <c r="H17" s="240"/>
      <c r="I17" s="240"/>
      <c r="J17" s="240"/>
      <c r="K17" s="240"/>
      <c r="L17" s="240"/>
      <c r="M17" s="241"/>
      <c r="N17" s="28"/>
      <c r="O17" s="75"/>
      <c r="P17" s="75"/>
      <c r="Q17" s="28"/>
      <c r="R17" s="28"/>
      <c r="S17" s="28"/>
      <c r="T17" s="28"/>
      <c r="U17" s="28"/>
      <c r="V17" s="28"/>
      <c r="W17" s="28"/>
      <c r="X17" s="28"/>
      <c r="Y17" s="28"/>
      <c r="Z17" s="28"/>
    </row>
    <row r="18" spans="1:26" ht="15.75" customHeight="1" x14ac:dyDescent="0.2">
      <c r="A18" s="8" t="s">
        <v>57</v>
      </c>
      <c r="B18" s="8"/>
      <c r="C18" s="8"/>
      <c r="D18" s="8"/>
      <c r="E18" s="8"/>
      <c r="F18" s="8"/>
      <c r="G18" s="8"/>
      <c r="H18" s="8"/>
      <c r="I18" s="8"/>
      <c r="J18" s="8"/>
      <c r="K18" s="8"/>
      <c r="L18" s="8"/>
      <c r="M18" s="8"/>
      <c r="N18" s="28"/>
      <c r="O18" s="78"/>
      <c r="P18" s="75"/>
      <c r="Q18" s="28"/>
      <c r="R18" s="28"/>
      <c r="S18" s="28"/>
      <c r="T18" s="28"/>
      <c r="U18" s="28"/>
      <c r="V18" s="28"/>
      <c r="W18" s="28"/>
      <c r="X18" s="28"/>
      <c r="Y18" s="28"/>
      <c r="Z18" s="28"/>
    </row>
    <row r="19" spans="1:26" ht="15.75" customHeight="1" x14ac:dyDescent="0.25">
      <c r="A19" s="233" t="s">
        <v>210</v>
      </c>
      <c r="B19" s="234"/>
      <c r="C19" s="234"/>
      <c r="D19" s="234"/>
      <c r="E19" s="234"/>
      <c r="F19" s="234"/>
      <c r="G19" s="234"/>
      <c r="H19" s="234"/>
      <c r="I19" s="234"/>
      <c r="J19" s="234"/>
      <c r="K19" s="234"/>
      <c r="L19" s="234"/>
      <c r="M19" s="235"/>
      <c r="N19" s="28"/>
      <c r="O19" s="56"/>
      <c r="P19" s="56"/>
      <c r="Q19" s="56"/>
      <c r="R19" s="56"/>
      <c r="S19" s="56"/>
      <c r="T19" s="56"/>
      <c r="U19" s="56"/>
      <c r="V19" s="56"/>
      <c r="W19" s="56"/>
      <c r="X19" s="56"/>
      <c r="Y19" s="56"/>
      <c r="Z19" s="56"/>
    </row>
    <row r="20" spans="1:26" ht="15.75" customHeight="1" x14ac:dyDescent="0.2">
      <c r="A20" s="236"/>
      <c r="B20" s="237"/>
      <c r="C20" s="237"/>
      <c r="D20" s="237"/>
      <c r="E20" s="237"/>
      <c r="F20" s="237"/>
      <c r="G20" s="237"/>
      <c r="H20" s="237"/>
      <c r="I20" s="237"/>
      <c r="J20" s="237"/>
      <c r="K20" s="237"/>
      <c r="L20" s="237"/>
      <c r="M20" s="238"/>
      <c r="N20" s="28"/>
      <c r="O20" s="28"/>
      <c r="P20" s="28"/>
      <c r="Q20" s="28"/>
      <c r="R20" s="28"/>
      <c r="S20" s="28"/>
      <c r="T20" s="28"/>
      <c r="U20" s="28"/>
      <c r="V20" s="28"/>
      <c r="W20" s="28"/>
      <c r="X20" s="28"/>
      <c r="Y20" s="28"/>
      <c r="Z20" s="28"/>
    </row>
    <row r="21" spans="1:26" ht="15.75" customHeight="1" x14ac:dyDescent="0.2">
      <c r="A21" s="236"/>
      <c r="B21" s="237"/>
      <c r="C21" s="237"/>
      <c r="D21" s="237"/>
      <c r="E21" s="237"/>
      <c r="F21" s="237"/>
      <c r="G21" s="237"/>
      <c r="H21" s="237"/>
      <c r="I21" s="237"/>
      <c r="J21" s="237"/>
      <c r="K21" s="237"/>
      <c r="L21" s="237"/>
      <c r="M21" s="238"/>
      <c r="N21" s="28"/>
      <c r="O21" s="28"/>
      <c r="P21" s="51"/>
      <c r="Q21" s="28"/>
      <c r="R21" s="28"/>
      <c r="S21" s="28"/>
      <c r="T21" s="28"/>
      <c r="U21" s="28"/>
      <c r="V21" s="28"/>
      <c r="W21" s="28"/>
      <c r="X21" s="28"/>
      <c r="Y21" s="28"/>
      <c r="Z21" s="28"/>
    </row>
    <row r="22" spans="1:26" ht="15.75" customHeight="1" x14ac:dyDescent="0.2">
      <c r="A22" s="239"/>
      <c r="B22" s="240"/>
      <c r="C22" s="240"/>
      <c r="D22" s="240"/>
      <c r="E22" s="240"/>
      <c r="F22" s="240"/>
      <c r="G22" s="240"/>
      <c r="H22" s="240"/>
      <c r="I22" s="240"/>
      <c r="J22" s="240"/>
      <c r="K22" s="240"/>
      <c r="L22" s="240"/>
      <c r="M22" s="241"/>
      <c r="N22" s="28"/>
      <c r="O22" s="28"/>
      <c r="P22" s="28"/>
      <c r="Q22" s="28"/>
      <c r="R22" s="61"/>
      <c r="S22" s="28"/>
      <c r="T22" s="28"/>
      <c r="U22" s="28"/>
      <c r="V22" s="79"/>
      <c r="W22" s="79"/>
      <c r="X22" s="79"/>
      <c r="Y22" s="79"/>
      <c r="Z22" s="79"/>
    </row>
    <row r="23" spans="1:26" ht="15.75" customHeight="1" x14ac:dyDescent="0.2">
      <c r="A23" s="8" t="s">
        <v>66</v>
      </c>
      <c r="B23" s="8"/>
      <c r="C23" s="8"/>
      <c r="D23" s="8"/>
      <c r="E23" s="8"/>
      <c r="F23" s="8"/>
      <c r="G23" s="8"/>
      <c r="H23" s="8"/>
      <c r="I23" s="8"/>
      <c r="J23" s="8"/>
      <c r="K23" s="8"/>
      <c r="L23" s="8"/>
      <c r="M23" s="8"/>
      <c r="N23" s="28"/>
      <c r="O23" s="28"/>
      <c r="P23" s="51"/>
      <c r="Q23" s="28"/>
      <c r="R23" s="28"/>
      <c r="S23" s="28"/>
      <c r="T23" s="28"/>
      <c r="U23" s="28"/>
      <c r="V23" s="79"/>
      <c r="W23" s="79"/>
      <c r="X23" s="79"/>
      <c r="Y23" s="79"/>
      <c r="Z23" s="79"/>
    </row>
    <row r="24" spans="1:26" ht="15.75" customHeight="1" x14ac:dyDescent="0.2">
      <c r="A24" s="233" t="s">
        <v>211</v>
      </c>
      <c r="B24" s="234"/>
      <c r="C24" s="234"/>
      <c r="D24" s="234"/>
      <c r="E24" s="234"/>
      <c r="F24" s="234"/>
      <c r="G24" s="234"/>
      <c r="H24" s="234"/>
      <c r="I24" s="234"/>
      <c r="J24" s="234"/>
      <c r="K24" s="234"/>
      <c r="L24" s="234"/>
      <c r="M24" s="235"/>
      <c r="N24" s="28"/>
      <c r="O24" s="28"/>
      <c r="P24" s="28"/>
      <c r="Q24" s="28"/>
      <c r="R24" s="28"/>
      <c r="S24" s="28"/>
      <c r="T24" s="28"/>
      <c r="U24" s="28"/>
      <c r="V24" s="28"/>
      <c r="W24" s="28"/>
      <c r="X24" s="28"/>
      <c r="Y24" s="28"/>
      <c r="Z24" s="28"/>
    </row>
    <row r="25" spans="1:26" ht="15.75" customHeight="1" x14ac:dyDescent="0.2">
      <c r="A25" s="236"/>
      <c r="B25" s="237"/>
      <c r="C25" s="237"/>
      <c r="D25" s="237"/>
      <c r="E25" s="237"/>
      <c r="F25" s="237"/>
      <c r="G25" s="237"/>
      <c r="H25" s="237"/>
      <c r="I25" s="237"/>
      <c r="J25" s="237"/>
      <c r="K25" s="237"/>
      <c r="L25" s="237"/>
      <c r="M25" s="238"/>
      <c r="N25" s="28"/>
      <c r="O25" s="28"/>
      <c r="P25" s="51"/>
      <c r="Q25" s="28"/>
      <c r="R25" s="28"/>
      <c r="S25" s="61"/>
      <c r="T25" s="28"/>
      <c r="U25" s="28"/>
      <c r="V25" s="28"/>
      <c r="W25" s="28"/>
      <c r="X25" s="28"/>
      <c r="Y25" s="28"/>
      <c r="Z25" s="28"/>
    </row>
    <row r="26" spans="1:26" ht="15.75" customHeight="1" x14ac:dyDescent="0.2">
      <c r="A26" s="236"/>
      <c r="B26" s="237"/>
      <c r="C26" s="237"/>
      <c r="D26" s="237"/>
      <c r="E26" s="237"/>
      <c r="F26" s="237"/>
      <c r="G26" s="237"/>
      <c r="H26" s="237"/>
      <c r="I26" s="237"/>
      <c r="J26" s="237"/>
      <c r="K26" s="237"/>
      <c r="L26" s="237"/>
      <c r="M26" s="238"/>
      <c r="N26" s="28"/>
      <c r="O26" s="28"/>
      <c r="P26" s="28"/>
      <c r="Q26" s="28"/>
      <c r="R26" s="28"/>
      <c r="S26" s="28"/>
      <c r="T26" s="28"/>
      <c r="U26" s="28"/>
      <c r="V26" s="28"/>
      <c r="W26" s="28"/>
      <c r="X26" s="28"/>
      <c r="Y26" s="28"/>
      <c r="Z26" s="28"/>
    </row>
    <row r="27" spans="1:26" ht="15.75" customHeight="1" x14ac:dyDescent="0.2">
      <c r="A27" s="239"/>
      <c r="B27" s="240"/>
      <c r="C27" s="240"/>
      <c r="D27" s="240"/>
      <c r="E27" s="240"/>
      <c r="F27" s="240"/>
      <c r="G27" s="240"/>
      <c r="H27" s="240"/>
      <c r="I27" s="240"/>
      <c r="J27" s="240"/>
      <c r="K27" s="240"/>
      <c r="L27" s="240"/>
      <c r="M27" s="241"/>
      <c r="N27" s="28"/>
      <c r="O27" s="51"/>
      <c r="P27" s="50"/>
      <c r="Q27" s="50"/>
      <c r="R27" s="50"/>
      <c r="S27" s="50"/>
      <c r="T27" s="50"/>
      <c r="U27" s="50"/>
      <c r="V27" s="50"/>
      <c r="W27" s="50"/>
      <c r="X27" s="50"/>
      <c r="Y27" s="50"/>
      <c r="Z27" s="28"/>
    </row>
    <row r="28" spans="1:26" ht="15.75" customHeight="1" x14ac:dyDescent="0.2">
      <c r="A28" s="8" t="s">
        <v>58</v>
      </c>
      <c r="B28" s="8"/>
      <c r="C28" s="8"/>
      <c r="D28" s="8"/>
      <c r="E28" s="8"/>
      <c r="F28" s="8"/>
      <c r="G28" s="8"/>
      <c r="H28" s="8"/>
      <c r="I28" s="8"/>
      <c r="J28" s="8"/>
      <c r="K28" s="8"/>
      <c r="L28" s="8"/>
      <c r="M28" s="8"/>
      <c r="N28" s="28"/>
      <c r="O28" s="51"/>
      <c r="P28" s="50"/>
      <c r="Q28" s="50"/>
      <c r="R28" s="50"/>
      <c r="S28" s="50"/>
      <c r="T28" s="50"/>
      <c r="U28" s="50"/>
      <c r="V28" s="50"/>
      <c r="W28" s="50"/>
      <c r="X28" s="50"/>
      <c r="Y28" s="50"/>
      <c r="Z28" s="28"/>
    </row>
    <row r="29" spans="1:26" ht="15.75" customHeight="1" x14ac:dyDescent="0.2">
      <c r="A29" s="233" t="s">
        <v>212</v>
      </c>
      <c r="B29" s="234"/>
      <c r="C29" s="234"/>
      <c r="D29" s="234"/>
      <c r="E29" s="234"/>
      <c r="F29" s="234"/>
      <c r="G29" s="234"/>
      <c r="H29" s="234"/>
      <c r="I29" s="234"/>
      <c r="J29" s="234"/>
      <c r="K29" s="234"/>
      <c r="L29" s="234"/>
      <c r="M29" s="235"/>
      <c r="N29" s="28"/>
      <c r="O29" s="51"/>
      <c r="P29" s="50"/>
      <c r="Q29" s="50"/>
      <c r="R29" s="50"/>
      <c r="S29" s="50"/>
      <c r="T29" s="50"/>
      <c r="U29" s="50"/>
      <c r="V29" s="50"/>
      <c r="W29" s="50"/>
      <c r="X29" s="50"/>
      <c r="Y29" s="50"/>
      <c r="Z29" s="28"/>
    </row>
    <row r="30" spans="1:26" ht="15.75" customHeight="1" x14ac:dyDescent="0.2">
      <c r="A30" s="236"/>
      <c r="B30" s="237"/>
      <c r="C30" s="237"/>
      <c r="D30" s="237"/>
      <c r="E30" s="237"/>
      <c r="F30" s="237"/>
      <c r="G30" s="237"/>
      <c r="H30" s="237"/>
      <c r="I30" s="237"/>
      <c r="J30" s="237"/>
      <c r="K30" s="237"/>
      <c r="L30" s="237"/>
      <c r="M30" s="238"/>
      <c r="N30" s="28"/>
      <c r="O30" s="55"/>
      <c r="P30" s="28"/>
      <c r="Q30" s="28"/>
      <c r="R30" s="28"/>
      <c r="S30" s="28"/>
      <c r="T30" s="28"/>
      <c r="U30" s="28"/>
      <c r="V30" s="28"/>
      <c r="W30" s="28"/>
      <c r="X30" s="28"/>
      <c r="Y30" s="28"/>
      <c r="Z30" s="28"/>
    </row>
    <row r="31" spans="1:26" ht="15.75" customHeight="1" x14ac:dyDescent="0.2">
      <c r="A31" s="236"/>
      <c r="B31" s="237"/>
      <c r="C31" s="237"/>
      <c r="D31" s="237"/>
      <c r="E31" s="237"/>
      <c r="F31" s="237"/>
      <c r="G31" s="237"/>
      <c r="H31" s="237"/>
      <c r="I31" s="237"/>
      <c r="J31" s="237"/>
      <c r="K31" s="237"/>
      <c r="L31" s="237"/>
      <c r="M31" s="238"/>
      <c r="N31" s="28"/>
      <c r="O31" s="28"/>
      <c r="P31" s="28"/>
      <c r="Q31" s="28"/>
      <c r="R31" s="28"/>
      <c r="S31" s="28"/>
      <c r="T31" s="28"/>
      <c r="U31" s="28"/>
      <c r="V31" s="28"/>
      <c r="W31" s="28"/>
      <c r="X31" s="28"/>
      <c r="Y31" s="28"/>
      <c r="Z31" s="28"/>
    </row>
    <row r="32" spans="1:26" ht="15.75" customHeight="1" x14ac:dyDescent="0.2">
      <c r="A32" s="239"/>
      <c r="B32" s="240"/>
      <c r="C32" s="240"/>
      <c r="D32" s="240"/>
      <c r="E32" s="240"/>
      <c r="F32" s="240"/>
      <c r="G32" s="240"/>
      <c r="H32" s="240"/>
      <c r="I32" s="240"/>
      <c r="J32" s="240"/>
      <c r="K32" s="240"/>
      <c r="L32" s="240"/>
      <c r="M32" s="241"/>
      <c r="N32" s="28"/>
      <c r="O32" s="28"/>
      <c r="P32" s="28"/>
      <c r="Q32" s="28"/>
      <c r="R32" s="28"/>
      <c r="S32" s="28"/>
      <c r="T32" s="28"/>
      <c r="U32" s="28"/>
      <c r="V32" s="28"/>
      <c r="W32" s="28"/>
      <c r="X32" s="28"/>
      <c r="Y32" s="28"/>
      <c r="Z32" s="28"/>
    </row>
    <row r="33" spans="1:26" ht="15.75" customHeight="1" x14ac:dyDescent="0.2">
      <c r="A33" s="8" t="s">
        <v>59</v>
      </c>
      <c r="B33" s="8"/>
      <c r="C33" s="8"/>
      <c r="D33" s="8"/>
      <c r="E33" s="8"/>
      <c r="F33" s="8"/>
      <c r="G33" s="8"/>
      <c r="H33" s="8"/>
      <c r="I33" s="8"/>
      <c r="J33" s="8"/>
      <c r="K33" s="8"/>
      <c r="L33" s="8"/>
      <c r="M33" s="8"/>
      <c r="N33" s="28"/>
      <c r="O33" s="28"/>
      <c r="P33" s="28"/>
      <c r="Q33" s="28"/>
      <c r="R33" s="28"/>
      <c r="S33" s="28"/>
      <c r="T33" s="28"/>
      <c r="U33" s="28"/>
      <c r="V33" s="28"/>
      <c r="W33" s="28"/>
      <c r="X33" s="28"/>
      <c r="Y33" s="28"/>
      <c r="Z33" s="28"/>
    </row>
    <row r="34" spans="1:26" ht="15.75" customHeight="1" x14ac:dyDescent="0.2">
      <c r="A34" s="199" t="s">
        <v>63</v>
      </c>
      <c r="B34" s="200"/>
      <c r="C34" s="214" t="s">
        <v>213</v>
      </c>
      <c r="D34" s="215"/>
      <c r="E34" s="215"/>
      <c r="F34" s="215"/>
      <c r="G34" s="215"/>
      <c r="H34" s="215"/>
      <c r="I34" s="215"/>
      <c r="J34" s="215"/>
      <c r="K34" s="215"/>
      <c r="L34" s="215"/>
      <c r="M34" s="215"/>
      <c r="N34" s="28"/>
      <c r="O34" s="28"/>
      <c r="P34" s="28"/>
      <c r="Q34" s="28"/>
      <c r="R34" s="28"/>
      <c r="S34" s="28"/>
      <c r="T34" s="28"/>
      <c r="U34" s="28"/>
      <c r="V34" s="28"/>
      <c r="W34" s="28"/>
      <c r="X34" s="28"/>
      <c r="Y34" s="28"/>
      <c r="Z34" s="28"/>
    </row>
    <row r="35" spans="1:26" ht="15.75" customHeight="1" x14ac:dyDescent="0.2">
      <c r="A35" s="201"/>
      <c r="B35" s="202"/>
      <c r="C35" s="206" t="s">
        <v>69</v>
      </c>
      <c r="D35" s="207"/>
      <c r="E35" s="207"/>
      <c r="F35" s="207"/>
      <c r="G35" s="207"/>
      <c r="H35" s="207"/>
      <c r="I35" s="207"/>
      <c r="J35" s="207"/>
      <c r="K35" s="207"/>
      <c r="L35" s="207"/>
      <c r="M35" s="208"/>
      <c r="N35" s="28"/>
      <c r="O35" s="28"/>
      <c r="P35" s="28"/>
      <c r="Q35" s="28"/>
      <c r="R35" s="28"/>
      <c r="S35" s="28"/>
      <c r="T35" s="28"/>
      <c r="U35" s="28"/>
      <c r="V35" s="28"/>
      <c r="W35" s="28"/>
      <c r="X35" s="28"/>
      <c r="Y35" s="28"/>
      <c r="Z35" s="28"/>
    </row>
    <row r="36" spans="1:26" ht="15.75" customHeight="1" x14ac:dyDescent="0.2">
      <c r="A36" s="203"/>
      <c r="B36" s="204"/>
      <c r="C36" s="209"/>
      <c r="D36" s="210"/>
      <c r="E36" s="210"/>
      <c r="F36" s="210"/>
      <c r="G36" s="210"/>
      <c r="H36" s="210"/>
      <c r="I36" s="210"/>
      <c r="J36" s="210"/>
      <c r="K36" s="210"/>
      <c r="L36" s="210"/>
      <c r="M36" s="211"/>
      <c r="N36" s="28"/>
      <c r="O36" s="28"/>
      <c r="P36" s="28"/>
      <c r="Q36" s="28"/>
      <c r="R36" s="28"/>
      <c r="S36" s="28"/>
      <c r="T36" s="28"/>
      <c r="U36" s="28"/>
      <c r="V36" s="28"/>
      <c r="W36" s="28"/>
      <c r="X36" s="28"/>
      <c r="Y36" s="28"/>
      <c r="Z36" s="28"/>
    </row>
    <row r="37" spans="1:26" ht="15.75" customHeight="1" x14ac:dyDescent="0.2">
      <c r="A37" s="216" t="s">
        <v>62</v>
      </c>
      <c r="B37" s="216"/>
      <c r="C37" s="212" t="s">
        <v>214</v>
      </c>
      <c r="D37" s="213"/>
      <c r="E37" s="213"/>
      <c r="F37" s="213"/>
      <c r="G37" s="213"/>
      <c r="H37" s="213"/>
      <c r="I37" s="213"/>
      <c r="J37" s="213"/>
      <c r="K37" s="213"/>
      <c r="L37" s="213"/>
      <c r="M37" s="213"/>
      <c r="N37" s="28"/>
      <c r="O37" s="28"/>
      <c r="P37" s="28"/>
      <c r="Q37" s="28"/>
      <c r="R37" s="28"/>
      <c r="S37" s="28"/>
      <c r="T37" s="28"/>
      <c r="U37" s="28"/>
      <c r="V37" s="28"/>
      <c r="W37" s="28"/>
      <c r="X37" s="28"/>
      <c r="Y37" s="28"/>
      <c r="Z37" s="28"/>
    </row>
    <row r="38" spans="1:26" ht="15.75" customHeight="1" x14ac:dyDescent="0.2">
      <c r="A38" s="216"/>
      <c r="B38" s="216"/>
      <c r="C38" s="206" t="s">
        <v>77</v>
      </c>
      <c r="D38" s="207"/>
      <c r="E38" s="207"/>
      <c r="F38" s="207"/>
      <c r="G38" s="207"/>
      <c r="H38" s="207"/>
      <c r="I38" s="207"/>
      <c r="J38" s="207"/>
      <c r="K38" s="207"/>
      <c r="L38" s="207"/>
      <c r="M38" s="208"/>
      <c r="N38" s="28"/>
      <c r="O38" s="28"/>
      <c r="P38" s="28"/>
      <c r="Q38" s="28"/>
      <c r="R38" s="28"/>
      <c r="S38" s="28"/>
      <c r="T38" s="28"/>
      <c r="U38" s="28"/>
      <c r="V38" s="28"/>
      <c r="W38" s="28"/>
      <c r="X38" s="28"/>
      <c r="Y38" s="28"/>
      <c r="Z38" s="28"/>
    </row>
    <row r="39" spans="1:26" ht="15.75" customHeight="1" x14ac:dyDescent="0.2">
      <c r="A39" s="216"/>
      <c r="B39" s="216"/>
      <c r="C39" s="209"/>
      <c r="D39" s="210"/>
      <c r="E39" s="210"/>
      <c r="F39" s="210"/>
      <c r="G39" s="210"/>
      <c r="H39" s="210"/>
      <c r="I39" s="210"/>
      <c r="J39" s="210"/>
      <c r="K39" s="210"/>
      <c r="L39" s="210"/>
      <c r="M39" s="211"/>
      <c r="N39" s="28"/>
      <c r="O39" s="28"/>
      <c r="P39" s="28"/>
      <c r="Q39" s="28"/>
      <c r="R39" s="28"/>
      <c r="S39" s="28"/>
      <c r="T39" s="28"/>
      <c r="U39" s="28"/>
      <c r="V39" s="28"/>
      <c r="W39" s="28"/>
      <c r="X39" s="28"/>
      <c r="Y39" s="28"/>
      <c r="Z39" s="28"/>
    </row>
    <row r="40" spans="1:26" ht="15.75" customHeight="1" x14ac:dyDescent="0.2">
      <c r="A40" s="199" t="s">
        <v>61</v>
      </c>
      <c r="B40" s="200"/>
      <c r="C40" s="205" t="s">
        <v>215</v>
      </c>
      <c r="D40" s="205"/>
      <c r="E40" s="205"/>
      <c r="F40" s="205"/>
      <c r="G40" s="205"/>
      <c r="H40" s="205"/>
      <c r="I40" s="205"/>
      <c r="J40" s="205"/>
      <c r="K40" s="205"/>
      <c r="L40" s="205"/>
      <c r="M40" s="205"/>
      <c r="N40" s="28"/>
      <c r="O40" s="28"/>
      <c r="P40" s="28"/>
      <c r="Q40" s="28"/>
      <c r="R40" s="28"/>
      <c r="S40" s="28"/>
      <c r="T40" s="28"/>
      <c r="U40" s="28"/>
      <c r="V40" s="28"/>
      <c r="W40" s="28"/>
      <c r="X40" s="28"/>
      <c r="Y40" s="28"/>
      <c r="Z40" s="28"/>
    </row>
    <row r="41" spans="1:26" ht="15.75" customHeight="1" x14ac:dyDescent="0.2">
      <c r="A41" s="201"/>
      <c r="B41" s="202"/>
      <c r="C41" s="206" t="s">
        <v>78</v>
      </c>
      <c r="D41" s="207"/>
      <c r="E41" s="207"/>
      <c r="F41" s="207"/>
      <c r="G41" s="207"/>
      <c r="H41" s="207"/>
      <c r="I41" s="207"/>
      <c r="J41" s="207"/>
      <c r="K41" s="207"/>
      <c r="L41" s="207"/>
      <c r="M41" s="208"/>
      <c r="N41" s="28"/>
      <c r="O41" s="28"/>
      <c r="P41" s="28"/>
      <c r="Q41" s="28"/>
      <c r="R41" s="28"/>
      <c r="S41" s="28"/>
      <c r="T41" s="28"/>
      <c r="U41" s="28"/>
      <c r="V41" s="28"/>
      <c r="W41" s="28"/>
      <c r="X41" s="28"/>
      <c r="Y41" s="28"/>
      <c r="Z41" s="28"/>
    </row>
    <row r="42" spans="1:26" ht="15.75" customHeight="1" x14ac:dyDescent="0.2">
      <c r="A42" s="203"/>
      <c r="B42" s="204"/>
      <c r="C42" s="209"/>
      <c r="D42" s="210"/>
      <c r="E42" s="210"/>
      <c r="F42" s="210"/>
      <c r="G42" s="210"/>
      <c r="H42" s="210"/>
      <c r="I42" s="210"/>
      <c r="J42" s="210"/>
      <c r="K42" s="210"/>
      <c r="L42" s="210"/>
      <c r="M42" s="211"/>
      <c r="N42" s="28"/>
      <c r="O42" s="28"/>
      <c r="P42" s="28"/>
      <c r="Q42" s="28"/>
      <c r="R42" s="28"/>
      <c r="S42" s="28"/>
      <c r="T42" s="28"/>
      <c r="U42" s="28"/>
      <c r="V42" s="28"/>
      <c r="W42" s="28"/>
      <c r="X42" s="28"/>
      <c r="Y42" s="28"/>
      <c r="Z42" s="28"/>
    </row>
    <row r="43" spans="1:26" ht="15.75" customHeight="1" x14ac:dyDescent="0.25">
      <c r="A43" s="4"/>
      <c r="B43" s="3"/>
      <c r="C43" s="4"/>
      <c r="D43" s="4"/>
      <c r="E43" s="4"/>
      <c r="F43" s="4"/>
      <c r="G43" s="4"/>
      <c r="H43" s="4"/>
      <c r="I43" s="4"/>
      <c r="J43" s="2"/>
      <c r="K43" s="2"/>
      <c r="L43" s="2"/>
      <c r="M43" s="24"/>
      <c r="N43" s="28"/>
      <c r="O43" s="28"/>
      <c r="P43" s="28"/>
      <c r="Q43" s="28"/>
      <c r="R43" s="28"/>
      <c r="S43" s="28"/>
      <c r="T43" s="28"/>
      <c r="U43" s="28"/>
      <c r="V43" s="28"/>
      <c r="W43" s="28"/>
      <c r="X43" s="28"/>
      <c r="Y43" s="28"/>
      <c r="Z43" s="28"/>
    </row>
    <row r="44" spans="1:26" ht="15.75" customHeight="1" x14ac:dyDescent="0.2">
      <c r="A44" s="177" t="s">
        <v>60</v>
      </c>
      <c r="B44" s="177"/>
      <c r="C44" s="8"/>
      <c r="D44" s="8"/>
      <c r="E44" s="8"/>
      <c r="F44" s="8"/>
      <c r="G44" s="8"/>
      <c r="H44" s="8"/>
      <c r="I44" s="8"/>
      <c r="J44" s="8"/>
      <c r="K44" s="8"/>
      <c r="L44" s="8"/>
      <c r="M44" s="8"/>
      <c r="N44" s="28"/>
      <c r="O44" s="28"/>
      <c r="P44" s="28"/>
      <c r="Q44" s="28"/>
      <c r="R44" s="28"/>
      <c r="S44" s="28"/>
      <c r="T44" s="28"/>
      <c r="U44" s="28"/>
      <c r="V44" s="28"/>
      <c r="W44" s="28"/>
      <c r="X44" s="28"/>
      <c r="Y44" s="28"/>
      <c r="Z44" s="28"/>
    </row>
    <row r="45" spans="1:26" ht="15.75" customHeight="1" x14ac:dyDescent="0.2">
      <c r="A45" s="175" t="s">
        <v>114</v>
      </c>
      <c r="B45" s="175"/>
      <c r="C45" s="175"/>
      <c r="D45" s="175"/>
      <c r="E45" s="175"/>
      <c r="F45" s="175"/>
      <c r="G45" s="175"/>
      <c r="H45" s="175"/>
      <c r="I45" s="175"/>
      <c r="J45" s="175"/>
      <c r="K45" s="175"/>
      <c r="L45" s="175"/>
      <c r="M45" s="175"/>
      <c r="N45" s="28"/>
      <c r="O45" s="28"/>
      <c r="P45" s="28"/>
      <c r="Q45" s="28"/>
      <c r="R45" s="28"/>
      <c r="S45" s="28"/>
      <c r="T45" s="28"/>
      <c r="U45" s="28"/>
      <c r="V45" s="28"/>
      <c r="W45" s="28"/>
      <c r="X45" s="28"/>
      <c r="Y45" s="28"/>
      <c r="Z45" s="28"/>
    </row>
    <row r="46" spans="1:26" ht="15.75" customHeight="1" x14ac:dyDescent="0.25">
      <c r="A46" s="178" t="s">
        <v>75</v>
      </c>
      <c r="B46" s="179"/>
      <c r="C46" s="179"/>
      <c r="D46" s="179"/>
      <c r="E46" s="179"/>
      <c r="F46" s="100"/>
      <c r="G46" s="100"/>
      <c r="H46" s="100"/>
      <c r="I46" s="100"/>
      <c r="J46" s="100"/>
      <c r="K46" s="100"/>
      <c r="L46" s="100"/>
      <c r="M46" s="100"/>
      <c r="N46" s="28"/>
      <c r="O46" s="56"/>
      <c r="P46" s="28"/>
      <c r="Q46" s="28"/>
      <c r="R46" s="28"/>
      <c r="S46" s="28"/>
      <c r="T46" s="28"/>
      <c r="U46" s="28"/>
      <c r="V46" s="28"/>
      <c r="W46" s="28"/>
      <c r="X46" s="28"/>
      <c r="Y46" s="28"/>
      <c r="Z46" s="28"/>
    </row>
    <row r="47" spans="1:26" ht="15.75" customHeight="1" x14ac:dyDescent="0.25">
      <c r="N47" s="28"/>
      <c r="O47" s="28"/>
      <c r="P47" s="56"/>
      <c r="Q47" s="28"/>
      <c r="R47" s="28"/>
      <c r="S47" s="28"/>
      <c r="T47" s="28"/>
      <c r="U47" s="28"/>
      <c r="V47" s="28"/>
      <c r="W47" s="28"/>
      <c r="X47" s="28"/>
      <c r="Y47" s="28"/>
      <c r="Z47" s="28"/>
    </row>
    <row r="48" spans="1:26" ht="15.75" customHeight="1" x14ac:dyDescent="0.2">
      <c r="A48" s="22"/>
      <c r="B48" s="22"/>
      <c r="C48" s="22"/>
      <c r="D48" s="22"/>
      <c r="E48" s="22"/>
      <c r="N48" s="28"/>
      <c r="O48" s="28"/>
      <c r="P48" s="28"/>
      <c r="Q48" s="28"/>
      <c r="R48" s="28"/>
      <c r="S48" s="28"/>
      <c r="T48" s="28"/>
      <c r="U48" s="28"/>
      <c r="V48" s="28"/>
      <c r="W48" s="28"/>
      <c r="X48" s="28"/>
      <c r="Y48" s="28"/>
      <c r="Z48" s="28"/>
    </row>
    <row r="49" spans="1:26" ht="15.75" customHeight="1" x14ac:dyDescent="0.2">
      <c r="A49" s="22"/>
      <c r="B49" s="22"/>
      <c r="C49" s="22"/>
      <c r="D49" s="22"/>
      <c r="E49" s="22"/>
      <c r="N49" s="28"/>
      <c r="O49" s="28"/>
      <c r="P49" s="28"/>
      <c r="Q49" s="28"/>
      <c r="R49" s="28"/>
      <c r="S49" s="28"/>
      <c r="T49" s="28"/>
      <c r="U49" s="28"/>
      <c r="V49" s="28"/>
      <c r="W49" s="28"/>
      <c r="X49" s="28"/>
      <c r="Y49" s="28"/>
      <c r="Z49" s="28"/>
    </row>
    <row r="50" spans="1:26" ht="15.75" customHeight="1" x14ac:dyDescent="0.2">
      <c r="A50" s="22"/>
      <c r="B50" s="22"/>
      <c r="C50" s="22"/>
      <c r="D50" s="22"/>
      <c r="E50" s="22"/>
      <c r="N50" s="28"/>
      <c r="O50" s="28"/>
      <c r="P50" s="28"/>
      <c r="Q50" s="28"/>
      <c r="R50" s="28"/>
      <c r="S50" s="28"/>
      <c r="T50" s="28"/>
      <c r="U50" s="28"/>
      <c r="V50" s="28"/>
      <c r="W50" s="28"/>
      <c r="X50" s="28"/>
      <c r="Y50" s="28"/>
      <c r="Z50" s="28"/>
    </row>
    <row r="51" spans="1:26" ht="15.75" customHeight="1" x14ac:dyDescent="0.2">
      <c r="A51" s="22"/>
      <c r="B51" s="22"/>
      <c r="C51" s="22"/>
      <c r="D51" s="22"/>
      <c r="E51" s="22"/>
      <c r="N51" s="28"/>
      <c r="O51" s="28"/>
      <c r="P51" s="28"/>
      <c r="Q51" s="28"/>
      <c r="R51" s="28"/>
      <c r="S51" s="28"/>
      <c r="T51" s="28"/>
      <c r="U51" s="28"/>
      <c r="V51" s="28"/>
      <c r="W51" s="28"/>
      <c r="X51" s="28"/>
      <c r="Y51" s="28"/>
      <c r="Z51" s="28"/>
    </row>
    <row r="52" spans="1:26" ht="15.75" customHeight="1" x14ac:dyDescent="0.2">
      <c r="A52" s="22"/>
      <c r="B52" s="22"/>
      <c r="C52" s="22"/>
      <c r="D52" s="22"/>
      <c r="E52" s="22"/>
      <c r="N52" s="28"/>
      <c r="O52" s="28"/>
      <c r="P52" s="28"/>
      <c r="Q52" s="28"/>
      <c r="R52" s="28"/>
      <c r="S52" s="28"/>
      <c r="T52" s="28"/>
      <c r="U52" s="28"/>
      <c r="V52" s="28"/>
      <c r="W52" s="28"/>
      <c r="X52" s="28"/>
      <c r="Y52" s="28"/>
      <c r="Z52" s="28"/>
    </row>
    <row r="53" spans="1:26" ht="15.75" customHeight="1" x14ac:dyDescent="0.2">
      <c r="A53" s="30" t="s">
        <v>3</v>
      </c>
      <c r="B53" s="31"/>
      <c r="C53" s="31"/>
      <c r="D53" s="31"/>
      <c r="E53" s="31"/>
      <c r="F53" s="31"/>
      <c r="G53" s="31"/>
      <c r="H53" s="31"/>
      <c r="I53" s="31"/>
      <c r="J53" s="31"/>
      <c r="K53" s="31"/>
      <c r="L53" s="91"/>
      <c r="M53" s="92"/>
      <c r="N53" s="28"/>
      <c r="O53" s="28"/>
      <c r="P53" s="28"/>
      <c r="Q53" s="28"/>
      <c r="R53" s="28"/>
      <c r="S53" s="28"/>
      <c r="T53" s="28"/>
      <c r="U53" s="28"/>
      <c r="V53" s="28"/>
      <c r="W53" s="28"/>
      <c r="X53" s="28"/>
      <c r="Y53" s="28"/>
      <c r="Z53" s="28"/>
    </row>
    <row r="54" spans="1:26" ht="15.75" customHeight="1" x14ac:dyDescent="0.2">
      <c r="A54" s="180" t="s">
        <v>29</v>
      </c>
      <c r="B54" s="181"/>
      <c r="C54" s="182"/>
      <c r="D54" s="165" t="str">
        <f>SpreadsheetName</f>
        <v>Structural Pit Calculation</v>
      </c>
      <c r="E54" s="166"/>
      <c r="F54" s="166"/>
      <c r="G54" s="166"/>
      <c r="H54" s="166"/>
      <c r="I54" s="166"/>
      <c r="J54" s="166"/>
      <c r="K54" s="167"/>
      <c r="L54" s="10"/>
      <c r="M54" s="10"/>
      <c r="N54" s="28"/>
      <c r="O54" s="28"/>
      <c r="P54" s="28"/>
      <c r="Q54" s="28"/>
      <c r="R54" s="28"/>
      <c r="S54" s="28"/>
      <c r="T54" s="28"/>
      <c r="U54" s="28"/>
      <c r="V54" s="28"/>
      <c r="W54" s="28"/>
      <c r="X54" s="28"/>
      <c r="Y54" s="28"/>
      <c r="Z54" s="28"/>
    </row>
    <row r="55" spans="1:26" ht="15.75" customHeight="1" x14ac:dyDescent="0.25">
      <c r="A55" s="180" t="s">
        <v>4</v>
      </c>
      <c r="B55" s="181"/>
      <c r="C55" s="182"/>
      <c r="D55" s="165" t="str">
        <f ca="1">pwDocCode</f>
        <v/>
      </c>
      <c r="E55" s="166"/>
      <c r="F55" s="166"/>
      <c r="G55" s="166"/>
      <c r="H55" s="166"/>
      <c r="I55" s="166"/>
      <c r="J55" s="166"/>
      <c r="K55" s="167"/>
      <c r="L55" s="10"/>
      <c r="M55" s="10"/>
      <c r="N55" s="28"/>
      <c r="O55" s="28"/>
      <c r="P55" s="28"/>
      <c r="Q55" s="56"/>
      <c r="R55" s="56"/>
      <c r="S55" s="28"/>
      <c r="T55" s="28"/>
      <c r="U55" s="28"/>
      <c r="V55" s="28"/>
      <c r="W55" s="28"/>
      <c r="X55" s="28"/>
      <c r="Y55" s="28"/>
      <c r="Z55" s="28"/>
    </row>
    <row r="56" spans="1:26" ht="28.5" customHeight="1" x14ac:dyDescent="0.2">
      <c r="A56" s="180" t="s">
        <v>30</v>
      </c>
      <c r="B56" s="181"/>
      <c r="C56" s="182"/>
      <c r="D56" s="168" t="str">
        <f ca="1">pwproperty("PW_ENV_FILEPATH")</f>
        <v/>
      </c>
      <c r="E56" s="169"/>
      <c r="F56" s="169"/>
      <c r="G56" s="169"/>
      <c r="H56" s="169"/>
      <c r="I56" s="169"/>
      <c r="J56" s="169"/>
      <c r="K56" s="170"/>
      <c r="L56" s="10"/>
      <c r="M56" s="10"/>
      <c r="N56" s="28"/>
      <c r="O56" s="28"/>
      <c r="P56" s="28"/>
      <c r="Q56" s="28"/>
      <c r="R56" s="28"/>
      <c r="S56" s="28"/>
      <c r="T56" s="28"/>
      <c r="U56" s="28"/>
      <c r="V56" s="28"/>
      <c r="W56" s="28"/>
      <c r="X56" s="28"/>
      <c r="Y56" s="28"/>
      <c r="Z56" s="28"/>
    </row>
    <row r="57" spans="1:26" ht="15.75" customHeight="1" x14ac:dyDescent="0.2">
      <c r="A57" s="45" t="s">
        <v>204</v>
      </c>
      <c r="B57" s="45" t="s">
        <v>5</v>
      </c>
      <c r="C57" s="180" t="s">
        <v>31</v>
      </c>
      <c r="D57" s="181"/>
      <c r="E57" s="182"/>
      <c r="F57" s="186" t="s">
        <v>6</v>
      </c>
      <c r="G57" s="187"/>
      <c r="H57" s="186" t="s">
        <v>7</v>
      </c>
      <c r="I57" s="187"/>
      <c r="J57" s="186" t="s">
        <v>8</v>
      </c>
      <c r="K57" s="187"/>
      <c r="L57" s="89"/>
      <c r="M57" s="10"/>
      <c r="N57" s="28"/>
      <c r="O57" s="28"/>
      <c r="P57" s="28"/>
      <c r="Q57" s="28"/>
      <c r="R57" s="28"/>
      <c r="S57" s="28"/>
      <c r="T57" s="28"/>
      <c r="U57" s="28"/>
      <c r="V57" s="28"/>
      <c r="W57" s="28"/>
      <c r="X57" s="28"/>
      <c r="Y57" s="28"/>
      <c r="Z57" s="28"/>
    </row>
    <row r="58" spans="1:26" ht="15.75" customHeight="1" x14ac:dyDescent="0.2">
      <c r="A58" s="94" t="str">
        <f ca="1">pwproperty("PW_ENV_Rev1")</f>
        <v/>
      </c>
      <c r="B58" s="93" t="str">
        <f ca="1">pwproperty("PW_ENV_RevDate1")</f>
        <v/>
      </c>
      <c r="C58" s="191" t="str">
        <f ca="1">pwproperty("PW_ENV_RevDes1")</f>
        <v/>
      </c>
      <c r="D58" s="192"/>
      <c r="E58" s="193"/>
      <c r="F58" s="173" t="str">
        <f ca="1">pwproperty("PW_ENV_RevAuth1")</f>
        <v/>
      </c>
      <c r="G58" s="174"/>
      <c r="H58" s="171" t="str">
        <f ca="1">pwproperty("PW_ENV_RevVer1")</f>
        <v/>
      </c>
      <c r="I58" s="172"/>
      <c r="J58" s="171" t="str">
        <f ca="1">pwproperty("PW_ENV_RevApp1")</f>
        <v/>
      </c>
      <c r="K58" s="172"/>
      <c r="L58" s="90"/>
      <c r="M58" s="72"/>
      <c r="N58" s="28"/>
      <c r="O58" s="28"/>
      <c r="P58" s="28"/>
      <c r="Q58" s="28"/>
      <c r="R58" s="28"/>
      <c r="S58" s="28"/>
      <c r="T58" s="28"/>
      <c r="U58" s="28"/>
      <c r="V58" s="28"/>
      <c r="W58" s="28"/>
      <c r="X58" s="28"/>
      <c r="Y58" s="28"/>
      <c r="Z58" s="28"/>
    </row>
    <row r="59" spans="1:26" ht="15.75" customHeight="1" x14ac:dyDescent="0.2">
      <c r="A59" s="94" t="str">
        <f ca="1">pwproperty("PW_ENV_Rev2")</f>
        <v/>
      </c>
      <c r="B59" s="93" t="str">
        <f ca="1">pwproperty("PW_ENV_RevDate2")</f>
        <v/>
      </c>
      <c r="C59" s="191" t="str">
        <f ca="1">pwproperty("PW_ENV_RevDes2")</f>
        <v/>
      </c>
      <c r="D59" s="192"/>
      <c r="E59" s="193"/>
      <c r="F59" s="173" t="str">
        <f ca="1">pwproperty("PW_ENV_RevAuth2")</f>
        <v/>
      </c>
      <c r="G59" s="174"/>
      <c r="H59" s="171" t="str">
        <f ca="1">pwproperty("PW_ENV_RevVer2")</f>
        <v/>
      </c>
      <c r="I59" s="172"/>
      <c r="J59" s="171" t="str">
        <f ca="1">pwproperty("PW_ENV_RevApp2")</f>
        <v/>
      </c>
      <c r="K59" s="172"/>
      <c r="L59" s="90"/>
      <c r="M59" s="72"/>
      <c r="N59" s="28"/>
      <c r="O59" s="28"/>
      <c r="P59" s="28"/>
      <c r="Q59" s="28"/>
      <c r="R59" s="28"/>
      <c r="S59" s="28"/>
      <c r="T59" s="28"/>
      <c r="U59" s="28"/>
      <c r="V59" s="28"/>
      <c r="W59" s="28"/>
      <c r="X59" s="28"/>
      <c r="Y59" s="28"/>
      <c r="Z59" s="28"/>
    </row>
    <row r="60" spans="1:26" ht="15.75" customHeight="1" x14ac:dyDescent="0.2">
      <c r="A60" s="94" t="str">
        <f ca="1">pwproperty("PW_ENV_Rev3")</f>
        <v/>
      </c>
      <c r="B60" s="93" t="str">
        <f ca="1">pwproperty("PW_ENV_RevDate3")</f>
        <v/>
      </c>
      <c r="C60" s="191" t="str">
        <f ca="1">pwproperty("PW_ENV_RevDes3")</f>
        <v/>
      </c>
      <c r="D60" s="192"/>
      <c r="E60" s="193"/>
      <c r="F60" s="173" t="str">
        <f ca="1">pwproperty("PW_ENV_RevAuth3")</f>
        <v/>
      </c>
      <c r="G60" s="174"/>
      <c r="H60" s="171" t="str">
        <f ca="1">pwproperty("PW_ENV_RevVer3")</f>
        <v/>
      </c>
      <c r="I60" s="172"/>
      <c r="J60" s="171" t="str">
        <f ca="1">pwproperty("PW_ENV_RevApp3")</f>
        <v/>
      </c>
      <c r="K60" s="172"/>
      <c r="L60" s="90"/>
      <c r="M60" s="72"/>
      <c r="N60" s="28"/>
      <c r="O60" s="28"/>
      <c r="P60" s="28"/>
      <c r="Q60" s="28"/>
      <c r="R60" s="28"/>
      <c r="S60" s="28"/>
      <c r="T60" s="28"/>
      <c r="U60" s="28"/>
      <c r="V60" s="28"/>
      <c r="W60" s="28"/>
      <c r="X60" s="28"/>
      <c r="Y60" s="28"/>
      <c r="Z60" s="28"/>
    </row>
    <row r="61" spans="1:26" ht="15.75" customHeight="1" x14ac:dyDescent="0.2">
      <c r="A61" s="94" t="str">
        <f ca="1">pwproperty("PW_ENV_Rev4")</f>
        <v/>
      </c>
      <c r="B61" s="93" t="str">
        <f ca="1">pwproperty("PW_ENV_RevDate4")</f>
        <v/>
      </c>
      <c r="C61" s="191" t="str">
        <f ca="1">pwproperty("PW_ENV_RevDes4")</f>
        <v/>
      </c>
      <c r="D61" s="192"/>
      <c r="E61" s="193"/>
      <c r="F61" s="173" t="str">
        <f ca="1">pwproperty("PW_ENV_RevAuth4")</f>
        <v/>
      </c>
      <c r="G61" s="174"/>
      <c r="H61" s="171" t="str">
        <f ca="1">pwproperty("PW_ENV_RevVer4")</f>
        <v/>
      </c>
      <c r="I61" s="172"/>
      <c r="J61" s="171" t="str">
        <f ca="1">pwproperty("PW_ENV_RevApp4")</f>
        <v/>
      </c>
      <c r="K61" s="172"/>
      <c r="L61" s="90"/>
      <c r="M61" s="72"/>
      <c r="N61" s="28"/>
      <c r="O61" s="28"/>
      <c r="P61" s="28"/>
      <c r="Q61" s="28"/>
      <c r="R61" s="28"/>
      <c r="S61" s="28"/>
      <c r="T61" s="28"/>
      <c r="U61" s="28"/>
      <c r="V61" s="28"/>
      <c r="W61" s="28"/>
      <c r="X61" s="28"/>
      <c r="Y61" s="28"/>
      <c r="Z61" s="28"/>
    </row>
    <row r="62" spans="1:26" ht="15.75" customHeight="1" x14ac:dyDescent="0.2">
      <c r="A62" s="198" t="s">
        <v>205</v>
      </c>
      <c r="B62" s="198"/>
      <c r="C62" s="198"/>
      <c r="D62" s="196">
        <f>Revision</f>
        <v>0</v>
      </c>
      <c r="E62" s="197"/>
      <c r="F62" s="26"/>
      <c r="G62" s="27"/>
      <c r="H62" s="27"/>
      <c r="I62" s="27"/>
      <c r="J62" s="27"/>
      <c r="K62" s="27"/>
      <c r="L62" s="88"/>
      <c r="M62" s="88"/>
      <c r="N62" s="28"/>
      <c r="O62" s="28"/>
      <c r="P62" s="28"/>
      <c r="Q62" s="28"/>
      <c r="R62" s="28"/>
      <c r="S62" s="28"/>
      <c r="T62" s="28"/>
      <c r="U62" s="28"/>
      <c r="V62" s="28"/>
      <c r="W62" s="28"/>
      <c r="X62" s="28"/>
      <c r="Y62" s="28"/>
      <c r="Z62" s="28"/>
    </row>
    <row r="63" spans="1:26" ht="15.75" customHeight="1" x14ac:dyDescent="0.2">
      <c r="N63" s="28"/>
      <c r="O63" s="28"/>
      <c r="P63" s="28"/>
      <c r="Q63" s="28"/>
      <c r="R63" s="28"/>
      <c r="S63" s="28"/>
      <c r="T63" s="28"/>
      <c r="U63" s="28"/>
      <c r="V63" s="28"/>
      <c r="W63" s="28"/>
      <c r="X63" s="28"/>
      <c r="Y63" s="28"/>
      <c r="Z63" s="28"/>
    </row>
    <row r="64" spans="1:26" ht="15.75" customHeight="1" x14ac:dyDescent="0.2">
      <c r="A64" s="30" t="s">
        <v>203</v>
      </c>
      <c r="B64" s="31"/>
      <c r="C64" s="31"/>
      <c r="D64" s="31"/>
      <c r="E64" s="31"/>
      <c r="F64" s="31"/>
      <c r="G64" s="31"/>
      <c r="H64" s="31"/>
      <c r="I64" s="31"/>
      <c r="J64" s="31"/>
      <c r="K64" s="31"/>
      <c r="L64" s="31"/>
      <c r="M64" s="32"/>
      <c r="N64" s="28"/>
      <c r="O64" s="28"/>
      <c r="P64" s="28"/>
      <c r="Q64" s="28"/>
      <c r="R64" s="28"/>
      <c r="S64" s="28"/>
      <c r="T64" s="28"/>
      <c r="U64" s="28"/>
      <c r="V64" s="28"/>
      <c r="W64" s="28"/>
      <c r="X64" s="28"/>
      <c r="Y64" s="28"/>
      <c r="Z64" s="28"/>
    </row>
    <row r="65" spans="1:26" ht="15.75" customHeight="1" x14ac:dyDescent="0.2">
      <c r="A65" s="46" t="s">
        <v>204</v>
      </c>
      <c r="B65" s="180" t="s">
        <v>26</v>
      </c>
      <c r="C65" s="181"/>
      <c r="D65" s="181"/>
      <c r="E65" s="181"/>
      <c r="F65" s="181"/>
      <c r="G65" s="181"/>
      <c r="H65" s="181"/>
      <c r="I65" s="181"/>
      <c r="J65" s="181"/>
      <c r="K65" s="181"/>
      <c r="L65" s="181"/>
      <c r="M65" s="182"/>
      <c r="N65" s="28"/>
      <c r="O65" s="28"/>
      <c r="P65" s="28"/>
      <c r="Q65" s="28"/>
      <c r="R65" s="28"/>
      <c r="S65" s="28"/>
      <c r="T65" s="28"/>
      <c r="U65" s="28"/>
      <c r="V65" s="28"/>
      <c r="W65" s="28"/>
      <c r="X65" s="28"/>
      <c r="Y65" s="28"/>
      <c r="Z65" s="28"/>
    </row>
    <row r="66" spans="1:26" ht="15.75" customHeight="1" x14ac:dyDescent="0.2">
      <c r="A66" s="33" t="s">
        <v>68</v>
      </c>
      <c r="B66" s="183" t="s">
        <v>27</v>
      </c>
      <c r="C66" s="184"/>
      <c r="D66" s="184"/>
      <c r="E66" s="184"/>
      <c r="F66" s="184"/>
      <c r="G66" s="184"/>
      <c r="H66" s="184"/>
      <c r="I66" s="184"/>
      <c r="J66" s="184"/>
      <c r="K66" s="184"/>
      <c r="L66" s="184"/>
      <c r="M66" s="185"/>
      <c r="N66" s="28"/>
      <c r="O66" s="28"/>
      <c r="P66" s="28"/>
      <c r="Q66" s="28"/>
      <c r="R66" s="28"/>
      <c r="S66" s="28"/>
      <c r="T66" s="28"/>
      <c r="U66" s="28"/>
      <c r="V66" s="28"/>
      <c r="W66" s="28"/>
      <c r="X66" s="28"/>
      <c r="Y66" s="28"/>
      <c r="Z66" s="28"/>
    </row>
    <row r="67" spans="1:26" ht="15.75" customHeight="1" x14ac:dyDescent="0.2">
      <c r="A67" s="34"/>
      <c r="B67" s="188" t="s">
        <v>28</v>
      </c>
      <c r="C67" s="189"/>
      <c r="D67" s="189"/>
      <c r="E67" s="189"/>
      <c r="F67" s="189"/>
      <c r="G67" s="189"/>
      <c r="H67" s="189"/>
      <c r="I67" s="189"/>
      <c r="J67" s="189"/>
      <c r="K67" s="189"/>
      <c r="L67" s="189"/>
      <c r="M67" s="190"/>
      <c r="N67" s="28"/>
      <c r="O67" s="28"/>
      <c r="P67" s="28"/>
      <c r="Q67" s="28"/>
      <c r="R67" s="28"/>
      <c r="S67" s="28"/>
      <c r="T67" s="28"/>
      <c r="U67" s="28"/>
      <c r="V67" s="28"/>
      <c r="W67" s="28"/>
      <c r="X67" s="28"/>
      <c r="Y67" s="28"/>
      <c r="Z67" s="28"/>
    </row>
    <row r="68" spans="1:26" ht="15.75" customHeight="1" x14ac:dyDescent="0.2">
      <c r="A68" s="63" t="s">
        <v>67</v>
      </c>
      <c r="B68" s="183" t="s">
        <v>27</v>
      </c>
      <c r="C68" s="184"/>
      <c r="D68" s="184"/>
      <c r="E68" s="184"/>
      <c r="F68" s="184"/>
      <c r="G68" s="184"/>
      <c r="H68" s="184"/>
      <c r="I68" s="184"/>
      <c r="J68" s="184"/>
      <c r="K68" s="184"/>
      <c r="L68" s="184"/>
      <c r="M68" s="185"/>
      <c r="N68" s="28"/>
      <c r="O68" s="28"/>
      <c r="P68" s="28"/>
      <c r="Q68" s="28"/>
      <c r="R68" s="28"/>
      <c r="S68" s="28"/>
      <c r="T68" s="28"/>
      <c r="U68" s="28"/>
      <c r="V68" s="28"/>
      <c r="W68" s="28"/>
      <c r="X68" s="28"/>
      <c r="Y68" s="28"/>
      <c r="Z68" s="28"/>
    </row>
    <row r="69" spans="1:26" ht="15.75" customHeight="1" x14ac:dyDescent="0.2">
      <c r="A69" s="63"/>
      <c r="B69" s="188" t="s">
        <v>28</v>
      </c>
      <c r="C69" s="189"/>
      <c r="D69" s="189"/>
      <c r="E69" s="189"/>
      <c r="F69" s="189"/>
      <c r="G69" s="189"/>
      <c r="H69" s="189"/>
      <c r="I69" s="189"/>
      <c r="J69" s="189"/>
      <c r="K69" s="189"/>
      <c r="L69" s="189"/>
      <c r="M69" s="190"/>
      <c r="N69" s="28"/>
      <c r="O69" s="28"/>
      <c r="P69" s="28"/>
      <c r="Q69" s="28"/>
      <c r="R69" s="28"/>
      <c r="S69" s="28"/>
      <c r="T69" s="28"/>
      <c r="U69" s="28"/>
      <c r="V69" s="28"/>
      <c r="W69" s="28"/>
      <c r="X69" s="28"/>
      <c r="Y69" s="28"/>
      <c r="Z69" s="28"/>
    </row>
    <row r="70" spans="1:26" ht="15.75" customHeight="1" x14ac:dyDescent="0.2">
      <c r="A70" s="33" t="s">
        <v>128</v>
      </c>
      <c r="B70" s="183" t="s">
        <v>27</v>
      </c>
      <c r="C70" s="184"/>
      <c r="D70" s="184"/>
      <c r="E70" s="184"/>
      <c r="F70" s="184"/>
      <c r="G70" s="184"/>
      <c r="H70" s="184"/>
      <c r="I70" s="184"/>
      <c r="J70" s="184"/>
      <c r="K70" s="184"/>
      <c r="L70" s="184"/>
      <c r="M70" s="185"/>
      <c r="N70" s="28"/>
      <c r="O70" s="28"/>
      <c r="P70" s="28"/>
      <c r="Q70" s="28"/>
      <c r="R70" s="28"/>
      <c r="S70" s="28"/>
      <c r="T70" s="28"/>
      <c r="U70" s="28"/>
      <c r="V70" s="28"/>
      <c r="W70" s="28"/>
      <c r="X70" s="28"/>
      <c r="Y70" s="28"/>
      <c r="Z70" s="28"/>
    </row>
    <row r="71" spans="1:26" ht="15.75" customHeight="1" x14ac:dyDescent="0.2">
      <c r="A71" s="34"/>
      <c r="B71" s="188" t="s">
        <v>28</v>
      </c>
      <c r="C71" s="189"/>
      <c r="D71" s="189"/>
      <c r="E71" s="189"/>
      <c r="F71" s="189"/>
      <c r="G71" s="189"/>
      <c r="H71" s="189"/>
      <c r="I71" s="189"/>
      <c r="J71" s="189"/>
      <c r="K71" s="189"/>
      <c r="L71" s="189"/>
      <c r="M71" s="190"/>
      <c r="N71" s="28"/>
      <c r="O71" s="28"/>
      <c r="P71" s="28"/>
      <c r="Q71" s="28"/>
      <c r="R71" s="28"/>
      <c r="S71" s="28"/>
      <c r="T71" s="28"/>
      <c r="U71" s="28"/>
      <c r="V71" s="28"/>
      <c r="W71" s="28"/>
      <c r="X71" s="28"/>
      <c r="Y71" s="28"/>
      <c r="Z71" s="28"/>
    </row>
    <row r="72" spans="1:26" ht="15.75" customHeight="1" x14ac:dyDescent="0.2">
      <c r="N72" s="28"/>
      <c r="O72" s="28"/>
      <c r="P72" s="28"/>
      <c r="Q72" s="28"/>
      <c r="R72" s="28"/>
      <c r="S72" s="28"/>
      <c r="T72" s="28"/>
      <c r="U72" s="28"/>
      <c r="V72" s="28"/>
      <c r="W72" s="28"/>
      <c r="X72" s="28"/>
      <c r="Y72" s="28"/>
      <c r="Z72" s="28"/>
    </row>
    <row r="73" spans="1:26" ht="15.75" customHeight="1" x14ac:dyDescent="0.2">
      <c r="A73" s="8" t="s">
        <v>118</v>
      </c>
      <c r="B73" s="8"/>
      <c r="C73" s="8"/>
      <c r="D73" s="8"/>
      <c r="E73" s="8"/>
      <c r="F73" s="8"/>
      <c r="G73" s="8"/>
      <c r="H73" s="8"/>
      <c r="I73" s="8"/>
      <c r="J73" s="8"/>
      <c r="K73" s="8"/>
      <c r="L73" s="8"/>
      <c r="M73" s="8"/>
      <c r="N73" s="28"/>
      <c r="O73" s="28"/>
      <c r="P73" s="28"/>
      <c r="Q73" s="28"/>
      <c r="R73" s="28"/>
      <c r="S73" s="28"/>
      <c r="T73" s="28"/>
      <c r="U73" s="28"/>
      <c r="V73" s="28"/>
      <c r="W73" s="28"/>
      <c r="X73" s="28"/>
      <c r="Y73" s="28"/>
      <c r="Z73" s="28"/>
    </row>
    <row r="74" spans="1:26" ht="15.75" customHeight="1" x14ac:dyDescent="0.2">
      <c r="A74" s="7" t="s">
        <v>116</v>
      </c>
      <c r="B74" s="7"/>
      <c r="C74" s="7"/>
      <c r="D74" s="7"/>
      <c r="E74" s="7"/>
      <c r="F74" s="7"/>
      <c r="G74" s="57"/>
      <c r="H74" s="7"/>
      <c r="I74" s="7"/>
      <c r="J74" s="7"/>
      <c r="K74" s="7"/>
      <c r="L74" s="7"/>
      <c r="M74" s="7"/>
      <c r="N74" s="28"/>
      <c r="O74" s="28"/>
      <c r="P74" s="28"/>
      <c r="Q74" s="28"/>
      <c r="R74" s="28"/>
      <c r="S74" s="28"/>
      <c r="T74" s="28"/>
      <c r="U74" s="28"/>
      <c r="V74" s="28"/>
      <c r="W74" s="28"/>
      <c r="X74" s="28"/>
      <c r="Y74" s="28"/>
      <c r="Z74" s="28"/>
    </row>
    <row r="75" spans="1:26" ht="15.75" customHeight="1" x14ac:dyDescent="0.2">
      <c r="A75" s="175" t="s">
        <v>119</v>
      </c>
      <c r="B75" s="175"/>
      <c r="C75" s="175"/>
      <c r="D75" s="175"/>
      <c r="E75" s="175"/>
      <c r="F75" s="175"/>
      <c r="G75" s="175"/>
      <c r="H75" s="175"/>
      <c r="I75" s="175"/>
      <c r="J75" s="175"/>
      <c r="K75" s="175"/>
      <c r="L75" s="175"/>
      <c r="M75" s="175"/>
      <c r="N75" s="28"/>
      <c r="O75" s="28"/>
      <c r="P75" s="28"/>
      <c r="Q75" s="28"/>
      <c r="R75" s="28"/>
      <c r="S75" s="28"/>
      <c r="T75" s="28"/>
      <c r="U75" s="28"/>
      <c r="V75" s="28"/>
      <c r="W75" s="28"/>
      <c r="X75" s="28"/>
      <c r="Y75" s="28"/>
      <c r="Z75" s="28"/>
    </row>
    <row r="76" spans="1:26" ht="15.75" customHeight="1" x14ac:dyDescent="0.2">
      <c r="A76" s="175"/>
      <c r="B76" s="175"/>
      <c r="C76" s="175"/>
      <c r="D76" s="175"/>
      <c r="E76" s="175"/>
      <c r="F76" s="175"/>
      <c r="G76" s="175"/>
      <c r="H76" s="175"/>
      <c r="I76" s="175"/>
      <c r="J76" s="175"/>
      <c r="K76" s="175"/>
      <c r="L76" s="175"/>
      <c r="M76" s="175"/>
      <c r="N76" s="28"/>
      <c r="O76" s="28"/>
      <c r="P76" s="28"/>
      <c r="Q76" s="28"/>
      <c r="R76" s="28"/>
      <c r="S76" s="28"/>
      <c r="T76" s="28"/>
      <c r="U76" s="28"/>
      <c r="V76" s="28"/>
      <c r="W76" s="28"/>
      <c r="X76" s="28"/>
      <c r="Y76" s="28"/>
      <c r="Z76" s="28"/>
    </row>
    <row r="77" spans="1:26" ht="15.75" customHeight="1" x14ac:dyDescent="0.2">
      <c r="A77" s="175"/>
      <c r="B77" s="175"/>
      <c r="C77" s="175"/>
      <c r="D77" s="175"/>
      <c r="E77" s="175"/>
      <c r="F77" s="175"/>
      <c r="G77" s="175"/>
      <c r="H77" s="175"/>
      <c r="I77" s="175"/>
      <c r="J77" s="175"/>
      <c r="K77" s="175"/>
      <c r="L77" s="175"/>
      <c r="M77" s="175"/>
      <c r="N77" s="28"/>
      <c r="O77" s="28"/>
      <c r="P77" s="28"/>
      <c r="Q77" s="28"/>
      <c r="R77" s="28"/>
      <c r="S77" s="28"/>
      <c r="T77" s="28"/>
      <c r="U77" s="28"/>
      <c r="V77" s="28"/>
      <c r="W77" s="28"/>
      <c r="X77" s="28"/>
      <c r="Y77" s="28"/>
      <c r="Z77" s="28"/>
    </row>
    <row r="78" spans="1:26" ht="15.75" customHeight="1" x14ac:dyDescent="0.2">
      <c r="A78" s="175"/>
      <c r="B78" s="175"/>
      <c r="C78" s="175"/>
      <c r="D78" s="175"/>
      <c r="E78" s="175"/>
      <c r="F78" s="175"/>
      <c r="G78" s="175"/>
      <c r="H78" s="175"/>
      <c r="I78" s="175"/>
      <c r="J78" s="175"/>
      <c r="K78" s="175"/>
      <c r="L78" s="175"/>
      <c r="M78" s="175"/>
      <c r="N78" s="28"/>
      <c r="O78" s="28"/>
      <c r="P78" s="28"/>
      <c r="Q78" s="28"/>
      <c r="R78" s="28"/>
      <c r="S78" s="28"/>
      <c r="T78" s="28"/>
      <c r="U78" s="28"/>
      <c r="V78" s="28"/>
      <c r="W78" s="28"/>
      <c r="X78" s="28"/>
      <c r="Y78" s="28"/>
      <c r="Z78" s="28"/>
    </row>
    <row r="79" spans="1:26" ht="15.75" customHeight="1" x14ac:dyDescent="0.2">
      <c r="A79" s="175"/>
      <c r="B79" s="175"/>
      <c r="C79" s="175"/>
      <c r="D79" s="175"/>
      <c r="E79" s="175"/>
      <c r="F79" s="175"/>
      <c r="G79" s="175"/>
      <c r="H79" s="175"/>
      <c r="I79" s="175"/>
      <c r="J79" s="175"/>
      <c r="K79" s="175"/>
      <c r="L79" s="175"/>
      <c r="M79" s="175"/>
      <c r="N79" s="28"/>
      <c r="O79" s="28"/>
      <c r="P79" s="28"/>
      <c r="Q79" s="28"/>
      <c r="R79" s="28"/>
      <c r="S79" s="28"/>
      <c r="T79" s="28"/>
      <c r="U79" s="28"/>
      <c r="V79" s="28"/>
      <c r="W79" s="28"/>
      <c r="X79" s="28"/>
      <c r="Y79" s="28"/>
      <c r="Z79" s="28"/>
    </row>
    <row r="80" spans="1:26" ht="15.75" customHeight="1" x14ac:dyDescent="0.2">
      <c r="A80" s="175"/>
      <c r="B80" s="175"/>
      <c r="C80" s="175"/>
      <c r="D80" s="175"/>
      <c r="E80" s="175"/>
      <c r="F80" s="175"/>
      <c r="G80" s="175"/>
      <c r="H80" s="175"/>
      <c r="I80" s="175"/>
      <c r="J80" s="175"/>
      <c r="K80" s="175"/>
      <c r="L80" s="175"/>
      <c r="M80" s="175"/>
      <c r="N80" s="28"/>
      <c r="O80" s="28"/>
      <c r="P80" s="28"/>
      <c r="Q80" s="28"/>
      <c r="R80" s="28"/>
      <c r="S80" s="28"/>
      <c r="T80" s="28"/>
      <c r="U80" s="28"/>
      <c r="V80" s="28"/>
      <c r="W80" s="28"/>
      <c r="X80" s="28"/>
      <c r="Y80" s="28"/>
      <c r="Z80" s="28"/>
    </row>
    <row r="81" spans="1:26" ht="15.75" customHeight="1" x14ac:dyDescent="0.2">
      <c r="A81" s="175"/>
      <c r="B81" s="175"/>
      <c r="C81" s="175"/>
      <c r="D81" s="175"/>
      <c r="E81" s="175"/>
      <c r="F81" s="175"/>
      <c r="G81" s="175"/>
      <c r="H81" s="175"/>
      <c r="I81" s="175"/>
      <c r="J81" s="175"/>
      <c r="K81" s="175"/>
      <c r="L81" s="175"/>
      <c r="M81" s="175"/>
      <c r="N81" s="28"/>
      <c r="O81" s="28"/>
      <c r="P81" s="28"/>
      <c r="Q81" s="28"/>
      <c r="R81" s="28"/>
      <c r="S81" s="28"/>
      <c r="T81" s="28"/>
      <c r="U81" s="28"/>
      <c r="V81" s="28"/>
      <c r="W81" s="28"/>
      <c r="X81" s="28"/>
      <c r="Y81" s="28"/>
      <c r="Z81" s="28"/>
    </row>
    <row r="82" spans="1:26" ht="15.75" customHeight="1" x14ac:dyDescent="0.2">
      <c r="A82" s="7" t="s">
        <v>117</v>
      </c>
      <c r="B82" s="7"/>
      <c r="C82" s="7"/>
      <c r="D82" s="7"/>
      <c r="E82" s="7"/>
      <c r="F82" s="7"/>
      <c r="G82" s="57"/>
      <c r="H82" s="7"/>
      <c r="I82" s="7"/>
      <c r="J82" s="7"/>
      <c r="K82" s="7"/>
      <c r="L82" s="7"/>
      <c r="M82" s="7"/>
      <c r="N82" s="28"/>
      <c r="O82" s="28"/>
      <c r="P82" s="28"/>
      <c r="Q82" s="28"/>
      <c r="R82" s="28"/>
      <c r="S82" s="28"/>
      <c r="T82" s="28"/>
      <c r="U82" s="28"/>
      <c r="V82" s="28"/>
      <c r="W82" s="28"/>
      <c r="X82" s="28"/>
      <c r="Y82" s="28"/>
      <c r="Z82" s="28"/>
    </row>
    <row r="83" spans="1:26" ht="15.75" customHeight="1" x14ac:dyDescent="0.2">
      <c r="A83"/>
      <c r="B83"/>
      <c r="C83"/>
      <c r="D83"/>
      <c r="E83"/>
      <c r="F83"/>
      <c r="G83" s="58"/>
      <c r="H83"/>
      <c r="I83"/>
      <c r="J83"/>
      <c r="K83"/>
      <c r="L83"/>
      <c r="M83"/>
      <c r="N83" s="28"/>
      <c r="O83" s="28"/>
      <c r="P83" s="28"/>
      <c r="Q83" s="28"/>
      <c r="R83" s="28"/>
      <c r="S83" s="28"/>
      <c r="T83" s="28"/>
      <c r="U83" s="28"/>
      <c r="V83" s="28"/>
      <c r="W83" s="28"/>
      <c r="X83" s="28"/>
      <c r="Y83" s="28"/>
      <c r="Z83" s="28"/>
    </row>
    <row r="84" spans="1:26" ht="15.75" customHeight="1" x14ac:dyDescent="0.2">
      <c r="A84" s="11" t="s">
        <v>46</v>
      </c>
      <c r="B84"/>
      <c r="N84" s="28"/>
      <c r="O84" s="28"/>
      <c r="P84" s="28"/>
      <c r="Q84" s="28"/>
      <c r="R84" s="28"/>
      <c r="S84" s="28"/>
      <c r="T84" s="28"/>
      <c r="U84" s="28"/>
      <c r="V84" s="28"/>
      <c r="W84" s="28"/>
      <c r="X84" s="28"/>
      <c r="Y84" s="28"/>
      <c r="Z84" s="28"/>
    </row>
    <row r="85" spans="1:26" ht="15.75" customHeight="1" x14ac:dyDescent="0.2">
      <c r="A85" s="11" t="s">
        <v>94</v>
      </c>
      <c r="B85"/>
      <c r="N85" s="28"/>
      <c r="O85" s="28"/>
      <c r="P85" s="28"/>
      <c r="Q85" s="28"/>
      <c r="R85" s="28"/>
      <c r="S85" s="28"/>
      <c r="T85" s="28"/>
      <c r="U85" s="28"/>
      <c r="V85" s="28"/>
      <c r="W85" s="28"/>
      <c r="X85" s="28"/>
      <c r="Y85" s="28"/>
      <c r="Z85" s="28"/>
    </row>
    <row r="86" spans="1:26" ht="15.75" customHeight="1" x14ac:dyDescent="0.2">
      <c r="A86" s="11" t="s">
        <v>92</v>
      </c>
      <c r="B86"/>
      <c r="N86" s="28"/>
      <c r="O86" s="28"/>
      <c r="P86" s="28"/>
      <c r="Q86" s="28"/>
      <c r="R86" s="28"/>
      <c r="S86" s="28"/>
      <c r="T86" s="28"/>
      <c r="U86" s="28"/>
      <c r="V86" s="28"/>
      <c r="W86" s="28"/>
      <c r="X86" s="28"/>
      <c r="Y86" s="28"/>
      <c r="Z86" s="28"/>
    </row>
    <row r="87" spans="1:26" ht="15.75" customHeight="1" x14ac:dyDescent="0.2">
      <c r="A87" s="11" t="s">
        <v>93</v>
      </c>
      <c r="B87"/>
      <c r="N87" s="28"/>
      <c r="O87" s="28"/>
      <c r="P87" s="28"/>
      <c r="Q87" s="28"/>
      <c r="R87" s="28"/>
      <c r="S87" s="28"/>
      <c r="T87" s="28"/>
      <c r="U87" s="28"/>
      <c r="V87" s="28"/>
      <c r="W87" s="28"/>
      <c r="X87" s="28"/>
      <c r="Y87" s="28"/>
      <c r="Z87" s="28"/>
    </row>
    <row r="88" spans="1:26" ht="15.75" customHeight="1" x14ac:dyDescent="0.2">
      <c r="A88" s="11" t="s">
        <v>49</v>
      </c>
      <c r="B88"/>
      <c r="N88" s="28"/>
      <c r="O88" s="28"/>
      <c r="P88" s="28"/>
      <c r="Q88" s="28"/>
      <c r="R88" s="28"/>
      <c r="S88" s="28"/>
      <c r="T88" s="28"/>
      <c r="U88" s="28"/>
      <c r="V88" s="28"/>
      <c r="W88" s="28"/>
      <c r="X88" s="28"/>
      <c r="Y88" s="28"/>
      <c r="Z88" s="28"/>
    </row>
    <row r="89" spans="1:26" ht="15.75" customHeight="1" x14ac:dyDescent="0.2">
      <c r="A89" s="11" t="s">
        <v>47</v>
      </c>
      <c r="B89"/>
      <c r="N89" s="28"/>
      <c r="O89" s="28"/>
      <c r="P89" s="28"/>
      <c r="Q89" s="28"/>
      <c r="R89" s="28"/>
      <c r="S89" s="28"/>
      <c r="T89" s="28"/>
      <c r="U89" s="28"/>
      <c r="V89" s="28"/>
      <c r="W89" s="28"/>
      <c r="X89" s="28"/>
      <c r="Y89" s="28"/>
      <c r="Z89" s="28"/>
    </row>
    <row r="90" spans="1:26" ht="15.75" customHeight="1" x14ac:dyDescent="0.2">
      <c r="A90" s="11" t="s">
        <v>48</v>
      </c>
      <c r="B90" s="11"/>
      <c r="N90" s="28"/>
      <c r="O90" s="28"/>
      <c r="P90" s="28"/>
      <c r="Q90" s="28"/>
      <c r="R90" s="28"/>
      <c r="S90" s="28"/>
      <c r="T90" s="28"/>
      <c r="U90" s="28"/>
      <c r="V90" s="28"/>
      <c r="W90" s="28"/>
      <c r="X90" s="28"/>
      <c r="Y90" s="28"/>
      <c r="Z90" s="28"/>
    </row>
    <row r="91" spans="1:26" ht="15.75" customHeight="1" x14ac:dyDescent="0.2">
      <c r="N91" s="28"/>
      <c r="O91" s="28"/>
      <c r="P91" s="28"/>
      <c r="Q91" s="28"/>
      <c r="R91" s="28"/>
      <c r="S91" s="28"/>
      <c r="T91" s="28"/>
      <c r="U91" s="28"/>
      <c r="V91" s="28"/>
      <c r="W91" s="28"/>
      <c r="X91" s="28"/>
      <c r="Y91" s="28"/>
      <c r="Z91" s="28"/>
    </row>
    <row r="92" spans="1:26" ht="15.75" customHeight="1" x14ac:dyDescent="0.2">
      <c r="N92" s="28"/>
      <c r="O92" s="28"/>
      <c r="P92" s="28"/>
      <c r="Q92" s="28"/>
      <c r="R92" s="28"/>
      <c r="S92" s="28"/>
      <c r="T92" s="28"/>
      <c r="U92" s="28"/>
      <c r="V92" s="28"/>
      <c r="W92" s="28"/>
      <c r="X92" s="28"/>
      <c r="Y92" s="28"/>
      <c r="Z92" s="28"/>
    </row>
    <row r="93" spans="1:26" ht="15.75" customHeight="1" x14ac:dyDescent="0.2">
      <c r="N93" s="28"/>
      <c r="O93" s="28"/>
      <c r="P93" s="28"/>
      <c r="Q93" s="28"/>
      <c r="R93" s="28"/>
      <c r="S93" s="28"/>
      <c r="T93" s="28"/>
      <c r="U93" s="28"/>
      <c r="V93" s="28"/>
      <c r="W93" s="28"/>
      <c r="X93" s="28"/>
      <c r="Y93" s="28"/>
      <c r="Z93" s="28"/>
    </row>
    <row r="94" spans="1:26" ht="15.75" customHeight="1" x14ac:dyDescent="0.2">
      <c r="N94" s="28"/>
      <c r="O94" s="28"/>
      <c r="P94" s="28"/>
      <c r="Q94" s="28"/>
      <c r="R94" s="28"/>
      <c r="S94" s="28"/>
      <c r="T94" s="28"/>
      <c r="U94" s="28"/>
      <c r="V94" s="28"/>
      <c r="W94" s="28"/>
      <c r="X94" s="28"/>
      <c r="Y94" s="28"/>
      <c r="Z94" s="28"/>
    </row>
    <row r="95" spans="1:26" ht="15.75" customHeight="1" x14ac:dyDescent="0.2">
      <c r="N95" s="28"/>
      <c r="O95" s="28"/>
      <c r="P95" s="28"/>
      <c r="Q95" s="28"/>
      <c r="R95" s="28"/>
      <c r="S95" s="28"/>
      <c r="T95" s="28"/>
      <c r="U95" s="28"/>
      <c r="V95" s="28"/>
      <c r="W95" s="28"/>
      <c r="X95" s="28"/>
      <c r="Y95" s="28"/>
      <c r="Z95" s="28"/>
    </row>
    <row r="96" spans="1:26" ht="15.75" customHeight="1" x14ac:dyDescent="0.2">
      <c r="N96" s="28"/>
      <c r="O96" s="28"/>
      <c r="P96" s="28"/>
      <c r="Q96" s="28"/>
      <c r="R96" s="28"/>
      <c r="S96" s="28"/>
      <c r="T96" s="28"/>
      <c r="U96" s="28"/>
      <c r="V96" s="28"/>
      <c r="W96" s="28"/>
      <c r="X96" s="28"/>
      <c r="Y96" s="28"/>
      <c r="Z96" s="28"/>
    </row>
    <row r="97" spans="1:26" ht="15.75" customHeight="1" x14ac:dyDescent="0.2">
      <c r="N97" s="28"/>
      <c r="O97" s="28"/>
      <c r="P97" s="28"/>
      <c r="Q97" s="28"/>
      <c r="R97" s="28"/>
      <c r="S97" s="28"/>
      <c r="T97" s="28"/>
      <c r="U97" s="28"/>
      <c r="V97" s="28"/>
      <c r="W97" s="28"/>
      <c r="X97" s="28"/>
      <c r="Y97" s="28"/>
      <c r="Z97" s="28"/>
    </row>
    <row r="98" spans="1:26" ht="13.8" x14ac:dyDescent="0.2">
      <c r="A98" s="8" t="s">
        <v>150</v>
      </c>
      <c r="B98" s="8"/>
      <c r="C98" s="8"/>
      <c r="D98" s="8"/>
      <c r="E98" s="8"/>
      <c r="F98" s="8"/>
      <c r="G98" s="8"/>
      <c r="H98" s="8"/>
      <c r="I98" s="8"/>
      <c r="J98" s="8"/>
      <c r="K98" s="8"/>
      <c r="L98" s="8"/>
      <c r="M98" s="8"/>
      <c r="N98" s="28"/>
      <c r="O98" s="28"/>
      <c r="P98" s="28"/>
      <c r="Q98" s="28"/>
      <c r="R98" s="28"/>
      <c r="S98" s="28"/>
      <c r="T98" s="28"/>
      <c r="U98" s="28"/>
      <c r="V98" s="28"/>
      <c r="W98" s="28"/>
      <c r="X98" s="28"/>
      <c r="Y98" s="28"/>
      <c r="Z98" s="28"/>
    </row>
    <row r="99" spans="1:26" x14ac:dyDescent="0.2">
      <c r="A99" s="81" t="s">
        <v>151</v>
      </c>
      <c r="B99" s="40"/>
      <c r="C99" s="40"/>
      <c r="D99" s="40"/>
      <c r="E99" s="10"/>
      <c r="F99" s="40"/>
      <c r="H99" s="40"/>
      <c r="I99" s="40"/>
      <c r="J99" s="40"/>
      <c r="K99" s="40"/>
      <c r="L99" s="40"/>
      <c r="M99" s="40"/>
      <c r="N99" s="28"/>
      <c r="O99" s="28"/>
      <c r="P99" s="28"/>
      <c r="Q99" s="28"/>
      <c r="R99" s="28"/>
      <c r="S99" s="28"/>
      <c r="T99" s="28"/>
      <c r="U99" s="28"/>
      <c r="V99" s="28"/>
      <c r="W99" s="28"/>
      <c r="X99" s="28"/>
      <c r="Y99" s="28"/>
      <c r="Z99" s="28"/>
    </row>
    <row r="100" spans="1:26" x14ac:dyDescent="0.2">
      <c r="A100" s="175" t="s">
        <v>206</v>
      </c>
      <c r="B100" s="175"/>
      <c r="C100" s="175"/>
      <c r="D100" s="175"/>
      <c r="E100" s="175"/>
      <c r="F100" s="175"/>
      <c r="G100" s="175"/>
      <c r="H100" s="175"/>
      <c r="I100" s="175"/>
      <c r="J100" s="175"/>
      <c r="K100" s="175"/>
      <c r="L100" s="175"/>
      <c r="M100" s="40"/>
      <c r="N100" s="28"/>
      <c r="O100" s="28"/>
      <c r="P100" s="28"/>
      <c r="Q100" s="28"/>
      <c r="R100" s="28"/>
      <c r="S100" s="28"/>
      <c r="T100" s="28"/>
      <c r="U100" s="28"/>
      <c r="V100" s="28"/>
      <c r="W100" s="28"/>
      <c r="X100" s="28"/>
      <c r="Y100" s="28"/>
      <c r="Z100" s="28"/>
    </row>
    <row r="101" spans="1:26" x14ac:dyDescent="0.2">
      <c r="A101" s="175"/>
      <c r="B101" s="175"/>
      <c r="C101" s="175"/>
      <c r="D101" s="175"/>
      <c r="E101" s="175"/>
      <c r="F101" s="175"/>
      <c r="G101" s="175"/>
      <c r="H101" s="175"/>
      <c r="I101" s="175"/>
      <c r="J101" s="175"/>
      <c r="K101" s="175"/>
      <c r="L101" s="175"/>
      <c r="M101" s="40"/>
      <c r="N101" s="28"/>
      <c r="O101" s="28"/>
      <c r="P101" s="28"/>
      <c r="Q101" s="28"/>
      <c r="R101" s="28"/>
      <c r="S101" s="28"/>
      <c r="T101" s="28"/>
      <c r="U101" s="28"/>
      <c r="V101" s="28"/>
      <c r="W101" s="28"/>
      <c r="X101" s="28"/>
      <c r="Y101" s="28"/>
      <c r="Z101" s="28"/>
    </row>
    <row r="102" spans="1:26" x14ac:dyDescent="0.2">
      <c r="B102" s="82" t="s">
        <v>152</v>
      </c>
      <c r="C102" s="40" t="s">
        <v>153</v>
      </c>
      <c r="D102" s="40"/>
      <c r="E102" s="10"/>
      <c r="F102" s="40"/>
      <c r="G102" s="40"/>
      <c r="H102" s="40"/>
      <c r="I102" s="40"/>
      <c r="J102" s="40"/>
      <c r="K102" s="40"/>
      <c r="L102" s="40"/>
      <c r="M102" s="40"/>
      <c r="N102" s="28"/>
      <c r="O102" s="28"/>
      <c r="P102" s="28"/>
      <c r="Q102" s="28"/>
      <c r="R102" s="28"/>
      <c r="S102" s="28"/>
      <c r="T102" s="28"/>
      <c r="U102" s="28"/>
      <c r="V102" s="28"/>
      <c r="W102" s="28"/>
      <c r="X102" s="28"/>
      <c r="Y102" s="28"/>
      <c r="Z102" s="28"/>
    </row>
    <row r="103" spans="1:26" x14ac:dyDescent="0.2">
      <c r="A103" s="40"/>
      <c r="B103" s="82" t="s">
        <v>154</v>
      </c>
      <c r="C103" t="s">
        <v>155</v>
      </c>
      <c r="D103" t="s">
        <v>138</v>
      </c>
      <c r="E103"/>
      <c r="F103" s="40"/>
      <c r="G103" s="40"/>
      <c r="H103" s="40"/>
      <c r="I103" s="40"/>
      <c r="J103" s="40"/>
      <c r="K103" s="40"/>
      <c r="L103" s="40"/>
      <c r="M103" s="40"/>
      <c r="N103" s="28"/>
      <c r="O103" s="28"/>
      <c r="P103" s="28"/>
      <c r="Q103" s="28"/>
      <c r="R103" s="28"/>
      <c r="S103" s="28"/>
      <c r="T103" s="28"/>
      <c r="U103" s="28"/>
      <c r="V103" s="28"/>
      <c r="W103" s="28"/>
      <c r="X103" s="28"/>
      <c r="Y103" s="28"/>
      <c r="Z103" s="28"/>
    </row>
    <row r="104" spans="1:26" x14ac:dyDescent="0.2">
      <c r="A104" s="40"/>
      <c r="B104" s="40">
        <v>1</v>
      </c>
      <c r="C104" s="40" t="s">
        <v>156</v>
      </c>
      <c r="D104" s="10"/>
      <c r="E104"/>
      <c r="F104" s="40"/>
      <c r="G104" s="40"/>
      <c r="H104" s="40"/>
      <c r="I104" s="40"/>
      <c r="J104" s="40"/>
      <c r="K104" s="40"/>
      <c r="L104" s="40"/>
      <c r="M104" s="40"/>
      <c r="N104" s="28"/>
      <c r="O104" s="28"/>
      <c r="P104" s="28"/>
      <c r="Q104" s="28"/>
      <c r="R104" s="28"/>
      <c r="S104" s="28"/>
      <c r="T104" s="28"/>
      <c r="U104" s="28"/>
      <c r="V104" s="28"/>
      <c r="W104" s="28"/>
      <c r="X104" s="28"/>
      <c r="Y104" s="28"/>
      <c r="Z104" s="28"/>
    </row>
    <row r="105" spans="1:26" x14ac:dyDescent="0.2">
      <c r="A105" s="40"/>
      <c r="B105" s="40">
        <v>2</v>
      </c>
      <c r="C105" s="40" t="s">
        <v>157</v>
      </c>
      <c r="D105" s="10"/>
      <c r="E105"/>
      <c r="F105" s="40"/>
      <c r="G105" s="40"/>
      <c r="H105" s="40"/>
      <c r="I105" s="40"/>
      <c r="J105" s="40"/>
      <c r="K105" s="40"/>
      <c r="L105" s="40"/>
      <c r="M105" s="40"/>
      <c r="N105" s="28"/>
      <c r="O105" s="28"/>
      <c r="P105" s="28"/>
      <c r="Q105" s="28"/>
      <c r="R105" s="28"/>
      <c r="S105" s="28"/>
      <c r="T105" s="28"/>
      <c r="U105" s="28"/>
      <c r="V105" s="28"/>
      <c r="W105" s="28"/>
      <c r="X105" s="28"/>
      <c r="Y105" s="28"/>
      <c r="Z105" s="28"/>
    </row>
    <row r="106" spans="1:26" x14ac:dyDescent="0.2">
      <c r="A106" s="40"/>
      <c r="B106" s="40">
        <v>3</v>
      </c>
      <c r="C106" s="40" t="s">
        <v>158</v>
      </c>
      <c r="D106" s="10"/>
      <c r="E106"/>
      <c r="F106" s="40"/>
      <c r="G106" s="40"/>
      <c r="H106" s="40"/>
      <c r="I106" s="40"/>
      <c r="J106" s="40"/>
      <c r="K106" s="40"/>
      <c r="L106" s="40"/>
      <c r="M106" s="40"/>
      <c r="N106" s="28"/>
      <c r="O106" s="28"/>
      <c r="P106" s="28"/>
      <c r="Q106" s="28"/>
      <c r="R106" s="28"/>
      <c r="S106" s="28"/>
      <c r="T106" s="28"/>
      <c r="U106" s="28"/>
      <c r="V106" s="28"/>
      <c r="W106" s="28"/>
      <c r="X106" s="28"/>
      <c r="Y106" s="28"/>
      <c r="Z106" s="28"/>
    </row>
    <row r="107" spans="1:26" x14ac:dyDescent="0.2">
      <c r="A107" s="40"/>
      <c r="B107" s="40">
        <v>4</v>
      </c>
      <c r="C107" s="40" t="s">
        <v>159</v>
      </c>
      <c r="D107" s="10" t="s">
        <v>160</v>
      </c>
      <c r="E107"/>
      <c r="F107" s="40"/>
      <c r="G107" s="40"/>
      <c r="H107" s="40"/>
      <c r="I107" s="40"/>
      <c r="J107" s="40"/>
      <c r="K107" s="40"/>
      <c r="L107" s="40"/>
      <c r="M107" s="40"/>
      <c r="N107" s="28"/>
      <c r="O107" s="28"/>
      <c r="P107" s="28"/>
      <c r="Q107" s="28"/>
      <c r="R107" s="28"/>
      <c r="S107" s="28"/>
      <c r="T107" s="28"/>
      <c r="U107" s="28"/>
      <c r="V107" s="28"/>
      <c r="W107" s="28"/>
      <c r="X107" s="28"/>
      <c r="Y107" s="28"/>
      <c r="Z107" s="28"/>
    </row>
    <row r="108" spans="1:26" x14ac:dyDescent="0.2">
      <c r="A108" s="40"/>
      <c r="B108" s="40">
        <v>5</v>
      </c>
      <c r="C108" s="40" t="s">
        <v>161</v>
      </c>
      <c r="D108" s="10" t="s">
        <v>162</v>
      </c>
      <c r="E108"/>
      <c r="F108" s="40"/>
      <c r="G108" s="40"/>
      <c r="H108" s="40"/>
      <c r="I108" s="40"/>
      <c r="J108" s="40"/>
      <c r="K108" s="40"/>
      <c r="L108" s="40"/>
      <c r="M108" s="40"/>
      <c r="N108" s="28"/>
      <c r="O108" s="28"/>
      <c r="P108" s="28"/>
      <c r="Q108" s="28"/>
      <c r="R108" s="28"/>
      <c r="S108" s="28"/>
      <c r="T108" s="28"/>
      <c r="U108" s="28"/>
      <c r="V108" s="28"/>
      <c r="W108" s="28"/>
      <c r="X108" s="28"/>
      <c r="Y108" s="28"/>
      <c r="Z108" s="28"/>
    </row>
    <row r="109" spans="1:26" x14ac:dyDescent="0.2">
      <c r="A109" s="40"/>
      <c r="B109" s="40">
        <v>6</v>
      </c>
      <c r="C109" s="40" t="s">
        <v>163</v>
      </c>
      <c r="D109" s="10" t="s">
        <v>164</v>
      </c>
      <c r="E109"/>
      <c r="F109" s="40"/>
      <c r="G109" s="40"/>
      <c r="H109" s="40"/>
      <c r="I109" s="40"/>
      <c r="J109" s="40"/>
      <c r="K109" s="40"/>
      <c r="L109" s="40"/>
      <c r="M109" s="40"/>
      <c r="N109" s="28"/>
      <c r="O109" s="28"/>
      <c r="P109" s="28"/>
      <c r="Q109" s="28"/>
      <c r="R109" s="28"/>
      <c r="S109" s="28"/>
      <c r="T109" s="28"/>
      <c r="U109" s="28"/>
      <c r="V109" s="28"/>
      <c r="W109" s="28"/>
      <c r="X109" s="28"/>
      <c r="Y109" s="28"/>
      <c r="Z109" s="28"/>
    </row>
    <row r="110" spans="1:26" x14ac:dyDescent="0.2">
      <c r="A110" s="40"/>
      <c r="B110" s="40">
        <v>7</v>
      </c>
      <c r="C110" s="40" t="s">
        <v>165</v>
      </c>
      <c r="D110" s="10"/>
      <c r="E110"/>
      <c r="F110" s="40"/>
      <c r="G110" s="40"/>
      <c r="H110" s="40"/>
      <c r="I110" s="40"/>
      <c r="J110" s="40"/>
      <c r="K110" s="40"/>
      <c r="L110" s="40"/>
      <c r="M110" s="40"/>
      <c r="N110" s="28"/>
      <c r="O110" s="28"/>
      <c r="P110" s="28"/>
      <c r="Q110" s="28"/>
      <c r="R110" s="28"/>
      <c r="S110" s="28"/>
      <c r="T110" s="28"/>
      <c r="U110" s="28"/>
      <c r="V110" s="28"/>
      <c r="W110" s="28"/>
      <c r="X110" s="28"/>
      <c r="Y110" s="28"/>
      <c r="Z110" s="28"/>
    </row>
    <row r="111" spans="1:26" x14ac:dyDescent="0.2">
      <c r="A111" s="40"/>
      <c r="B111" s="40">
        <v>8</v>
      </c>
      <c r="C111" s="40" t="s">
        <v>166</v>
      </c>
      <c r="D111" s="10"/>
      <c r="E111"/>
      <c r="F111" s="40"/>
      <c r="G111" s="40"/>
      <c r="H111" s="40"/>
      <c r="I111" s="40"/>
      <c r="J111" s="40"/>
      <c r="K111" s="40"/>
      <c r="L111" s="40"/>
      <c r="M111" s="40"/>
      <c r="N111" s="28"/>
      <c r="O111" s="28"/>
      <c r="P111" s="28"/>
      <c r="Q111" s="28"/>
      <c r="R111" s="28"/>
      <c r="S111" s="28"/>
      <c r="T111" s="28"/>
      <c r="U111" s="28"/>
      <c r="V111" s="28"/>
      <c r="W111" s="28"/>
      <c r="X111" s="28"/>
      <c r="Y111" s="28"/>
      <c r="Z111" s="28"/>
    </row>
    <row r="112" spans="1:26" x14ac:dyDescent="0.2">
      <c r="A112" s="40"/>
      <c r="B112" s="40">
        <v>9</v>
      </c>
      <c r="C112" s="40" t="s">
        <v>167</v>
      </c>
      <c r="D112" s="10" t="s">
        <v>168</v>
      </c>
      <c r="E112"/>
      <c r="F112" s="40"/>
      <c r="G112" s="40"/>
      <c r="H112" s="40"/>
      <c r="I112" s="40"/>
      <c r="J112" s="40"/>
      <c r="K112" s="40"/>
      <c r="L112" s="40"/>
      <c r="M112" s="40"/>
      <c r="N112" s="28"/>
      <c r="O112" s="28"/>
      <c r="P112" s="28"/>
      <c r="Q112" s="28"/>
      <c r="R112" s="28"/>
      <c r="S112" s="28"/>
      <c r="T112" s="28"/>
      <c r="U112" s="28"/>
      <c r="V112" s="28"/>
      <c r="W112" s="28"/>
      <c r="X112" s="28"/>
      <c r="Y112" s="28"/>
      <c r="Z112" s="28"/>
    </row>
    <row r="113" spans="1:26" x14ac:dyDescent="0.2">
      <c r="A113" s="40"/>
      <c r="B113" s="40">
        <v>10</v>
      </c>
      <c r="C113" s="40" t="s">
        <v>169</v>
      </c>
      <c r="D113" s="10" t="s">
        <v>170</v>
      </c>
      <c r="E113"/>
      <c r="F113" s="40"/>
      <c r="G113" s="40"/>
      <c r="H113" s="40"/>
      <c r="I113" s="40"/>
      <c r="J113" s="40"/>
      <c r="K113" s="40"/>
      <c r="L113" s="40"/>
      <c r="M113" s="40"/>
      <c r="N113" s="28"/>
      <c r="O113" s="28"/>
      <c r="P113" s="28"/>
      <c r="Q113" s="28"/>
      <c r="R113" s="28"/>
      <c r="S113" s="28"/>
      <c r="T113" s="28"/>
      <c r="U113" s="28"/>
      <c r="V113" s="28"/>
      <c r="W113" s="28"/>
      <c r="X113" s="28"/>
      <c r="Y113" s="28"/>
      <c r="Z113" s="28"/>
    </row>
    <row r="114" spans="1:26" x14ac:dyDescent="0.2">
      <c r="A114" s="40"/>
      <c r="B114" s="40">
        <v>11</v>
      </c>
      <c r="C114" s="40" t="s">
        <v>171</v>
      </c>
      <c r="D114" s="10" t="s">
        <v>172</v>
      </c>
      <c r="E114"/>
      <c r="F114" s="40"/>
      <c r="G114" s="40"/>
      <c r="H114" s="40"/>
      <c r="I114" s="40"/>
      <c r="J114" s="40"/>
      <c r="K114" s="40"/>
      <c r="L114" s="40"/>
      <c r="M114" s="40"/>
      <c r="N114" s="28"/>
      <c r="O114" s="28"/>
      <c r="P114" s="28"/>
      <c r="Q114" s="28"/>
      <c r="R114" s="28"/>
      <c r="S114" s="28"/>
      <c r="T114" s="28"/>
      <c r="U114" s="28"/>
      <c r="V114" s="28"/>
      <c r="W114" s="28"/>
      <c r="X114" s="28"/>
      <c r="Y114" s="28"/>
      <c r="Z114" s="28"/>
    </row>
    <row r="115" spans="1:26" x14ac:dyDescent="0.2">
      <c r="A115" s="40"/>
      <c r="B115" s="40">
        <v>12</v>
      </c>
      <c r="C115" s="40" t="s">
        <v>173</v>
      </c>
      <c r="D115" s="10" t="s">
        <v>174</v>
      </c>
      <c r="E115"/>
      <c r="F115" s="40"/>
      <c r="G115" s="40"/>
      <c r="H115" s="40"/>
      <c r="I115" s="40"/>
      <c r="J115" s="40"/>
      <c r="K115" s="40"/>
      <c r="L115" s="40"/>
      <c r="M115" s="40"/>
      <c r="N115" s="28"/>
      <c r="O115" s="28"/>
      <c r="P115" s="28"/>
      <c r="Q115" s="28"/>
      <c r="R115" s="28"/>
      <c r="S115" s="28"/>
      <c r="T115" s="28"/>
      <c r="U115" s="28"/>
      <c r="V115" s="28"/>
      <c r="W115" s="28"/>
      <c r="X115" s="28"/>
      <c r="Y115" s="28"/>
      <c r="Z115" s="28"/>
    </row>
    <row r="116" spans="1:26" x14ac:dyDescent="0.2">
      <c r="A116" s="40"/>
      <c r="B116" s="40">
        <v>13</v>
      </c>
      <c r="C116" s="40" t="s">
        <v>175</v>
      </c>
      <c r="D116" s="10" t="s">
        <v>176</v>
      </c>
      <c r="E116"/>
      <c r="F116" s="40"/>
      <c r="G116" s="40"/>
      <c r="H116" s="40"/>
      <c r="I116" s="40"/>
      <c r="J116" s="40"/>
      <c r="K116" s="40"/>
      <c r="L116" s="40"/>
      <c r="M116" s="40"/>
      <c r="N116" s="28"/>
      <c r="O116" s="28"/>
      <c r="P116" s="28"/>
      <c r="Q116" s="28"/>
      <c r="R116" s="28"/>
      <c r="S116" s="28"/>
      <c r="T116" s="28"/>
      <c r="U116" s="28"/>
      <c r="V116" s="28"/>
      <c r="W116" s="28"/>
      <c r="X116" s="28"/>
      <c r="Y116" s="28"/>
      <c r="Z116" s="28"/>
    </row>
    <row r="117" spans="1:26" x14ac:dyDescent="0.2">
      <c r="A117" s="40"/>
      <c r="B117" s="40">
        <v>14</v>
      </c>
      <c r="C117" s="40" t="s">
        <v>177</v>
      </c>
      <c r="D117" s="10" t="s">
        <v>178</v>
      </c>
      <c r="E117"/>
      <c r="F117" s="40"/>
      <c r="G117" s="40"/>
      <c r="H117" s="40"/>
      <c r="I117" s="40"/>
      <c r="J117" s="40"/>
      <c r="K117" s="40"/>
      <c r="L117" s="40"/>
      <c r="M117" s="40"/>
      <c r="N117" s="28"/>
      <c r="O117" s="28"/>
      <c r="P117" s="28"/>
      <c r="Q117" s="28"/>
      <c r="R117" s="28"/>
      <c r="S117" s="28"/>
      <c r="T117" s="28"/>
      <c r="U117" s="28"/>
      <c r="V117" s="28"/>
      <c r="W117" s="28"/>
      <c r="X117" s="28"/>
      <c r="Y117" s="28"/>
      <c r="Z117" s="28"/>
    </row>
    <row r="118" spans="1:26" x14ac:dyDescent="0.2">
      <c r="A118" s="40"/>
      <c r="B118" s="40"/>
      <c r="C118" s="40"/>
      <c r="D118" s="10"/>
      <c r="E118"/>
      <c r="F118" s="40"/>
      <c r="G118" s="40"/>
      <c r="H118" s="40"/>
      <c r="I118" s="40"/>
      <c r="J118" s="40"/>
      <c r="K118" s="40"/>
      <c r="L118" s="40"/>
      <c r="M118" s="40"/>
      <c r="N118" s="28"/>
      <c r="O118" s="28"/>
      <c r="P118" s="28"/>
      <c r="Q118" s="28"/>
      <c r="R118" s="28"/>
      <c r="S118" s="28"/>
      <c r="T118" s="28"/>
      <c r="U118" s="28"/>
      <c r="V118" s="28"/>
      <c r="W118" s="28"/>
      <c r="X118" s="28"/>
      <c r="Y118" s="28"/>
      <c r="Z118" s="28"/>
    </row>
    <row r="119" spans="1:26" x14ac:dyDescent="0.2">
      <c r="A119" s="81" t="s">
        <v>179</v>
      </c>
      <c r="B119" s="40"/>
      <c r="C119" s="40"/>
      <c r="D119" s="10"/>
      <c r="E119"/>
      <c r="F119" s="40"/>
      <c r="G119" s="40"/>
      <c r="H119" s="40"/>
      <c r="I119" s="40"/>
      <c r="J119" s="40"/>
      <c r="K119" s="40"/>
      <c r="L119" s="40"/>
      <c r="M119" s="40"/>
      <c r="N119" s="28"/>
      <c r="O119" s="28"/>
      <c r="P119" s="28"/>
      <c r="Q119" s="28"/>
      <c r="R119" s="28"/>
      <c r="S119" s="28"/>
      <c r="T119" s="28"/>
      <c r="U119" s="28"/>
      <c r="V119" s="28"/>
      <c r="W119" s="28"/>
      <c r="X119" s="28"/>
      <c r="Y119" s="28"/>
      <c r="Z119" s="28"/>
    </row>
    <row r="120" spans="1:26" x14ac:dyDescent="0.2">
      <c r="A120" s="164" t="s">
        <v>207</v>
      </c>
      <c r="B120" s="164"/>
      <c r="C120" s="164"/>
      <c r="D120" s="164"/>
      <c r="E120" s="164"/>
      <c r="F120" s="164"/>
      <c r="G120" s="164"/>
      <c r="H120" s="164"/>
      <c r="I120" s="164"/>
      <c r="J120" s="164"/>
      <c r="K120" s="164"/>
      <c r="L120" s="164"/>
      <c r="M120" s="40"/>
      <c r="N120" s="28"/>
      <c r="O120" s="28"/>
      <c r="P120" s="28"/>
      <c r="Q120" s="28"/>
      <c r="R120" s="28"/>
      <c r="S120" s="28"/>
      <c r="T120" s="28"/>
      <c r="U120" s="28"/>
      <c r="V120" s="28"/>
      <c r="W120" s="28"/>
      <c r="X120" s="28"/>
      <c r="Y120" s="28"/>
      <c r="Z120" s="28"/>
    </row>
    <row r="121" spans="1:26" x14ac:dyDescent="0.2">
      <c r="A121" s="164"/>
      <c r="B121" s="164"/>
      <c r="C121" s="164"/>
      <c r="D121" s="164"/>
      <c r="E121" s="164"/>
      <c r="F121" s="164"/>
      <c r="G121" s="164"/>
      <c r="H121" s="164"/>
      <c r="I121" s="164"/>
      <c r="J121" s="164"/>
      <c r="K121" s="164"/>
      <c r="L121" s="164"/>
      <c r="M121" s="40"/>
      <c r="N121" s="28"/>
      <c r="O121" s="28"/>
      <c r="P121" s="28"/>
      <c r="Q121" s="28"/>
      <c r="R121" s="28"/>
      <c r="S121" s="28"/>
      <c r="T121" s="28"/>
      <c r="U121" s="28"/>
      <c r="V121" s="28"/>
      <c r="W121" s="28"/>
      <c r="X121" s="28"/>
      <c r="Y121" s="28"/>
      <c r="Z121" s="28"/>
    </row>
    <row r="122" spans="1:26" x14ac:dyDescent="0.2">
      <c r="A122" s="164"/>
      <c r="B122" s="164"/>
      <c r="C122" s="164"/>
      <c r="D122" s="164"/>
      <c r="E122" s="164"/>
      <c r="F122" s="164"/>
      <c r="G122" s="164"/>
      <c r="H122" s="164"/>
      <c r="I122" s="164"/>
      <c r="J122" s="164"/>
      <c r="K122" s="164"/>
      <c r="L122" s="164"/>
      <c r="M122" s="40"/>
      <c r="N122" s="28"/>
      <c r="O122" s="28"/>
      <c r="P122" s="28"/>
      <c r="Q122" s="28"/>
      <c r="R122" s="28"/>
      <c r="S122" s="28"/>
      <c r="T122" s="28"/>
      <c r="U122" s="28"/>
      <c r="V122" s="28"/>
      <c r="W122" s="28"/>
      <c r="X122" s="28"/>
      <c r="Y122" s="28"/>
      <c r="Z122" s="28"/>
    </row>
    <row r="123" spans="1:26" x14ac:dyDescent="0.2">
      <c r="A123" s="40"/>
      <c r="B123" s="83" t="s">
        <v>180</v>
      </c>
      <c r="C123" s="40" t="s">
        <v>181</v>
      </c>
      <c r="D123" s="10"/>
      <c r="E123"/>
      <c r="F123" s="40"/>
      <c r="G123" s="40"/>
      <c r="H123" s="40"/>
      <c r="I123" s="40"/>
      <c r="J123" s="40"/>
      <c r="K123" s="40"/>
      <c r="L123" s="40"/>
      <c r="M123" s="40"/>
      <c r="N123" s="28"/>
      <c r="O123" s="28"/>
      <c r="P123" s="28"/>
      <c r="Q123" s="28"/>
      <c r="R123" s="28"/>
      <c r="S123" s="28"/>
      <c r="T123" s="28"/>
      <c r="U123" s="28"/>
      <c r="V123" s="28"/>
      <c r="W123" s="28"/>
      <c r="X123" s="28"/>
      <c r="Y123" s="28"/>
      <c r="Z123" s="28"/>
    </row>
    <row r="124" spans="1:26" x14ac:dyDescent="0.2">
      <c r="A124" s="40"/>
      <c r="B124" s="40">
        <v>0</v>
      </c>
      <c r="C124" s="40" t="s">
        <v>182</v>
      </c>
      <c r="D124" s="10"/>
      <c r="E124"/>
      <c r="F124" s="40"/>
      <c r="G124" s="40"/>
      <c r="H124" s="40"/>
      <c r="I124" s="40"/>
      <c r="J124" s="40"/>
      <c r="K124" s="40"/>
      <c r="L124" s="40"/>
      <c r="M124" s="40"/>
      <c r="N124" s="28"/>
      <c r="O124" s="28"/>
      <c r="P124" s="28"/>
      <c r="Q124" s="28"/>
      <c r="R124" s="28"/>
      <c r="S124" s="28"/>
      <c r="T124" s="28"/>
      <c r="U124" s="28"/>
      <c r="V124" s="28"/>
      <c r="W124" s="28"/>
      <c r="X124" s="28"/>
      <c r="Y124" s="28"/>
      <c r="Z124" s="28"/>
    </row>
    <row r="125" spans="1:26" x14ac:dyDescent="0.2">
      <c r="A125" s="40"/>
      <c r="B125" s="40">
        <v>1</v>
      </c>
      <c r="C125" s="40" t="s">
        <v>183</v>
      </c>
      <c r="D125" s="10"/>
      <c r="E125"/>
      <c r="F125" s="40"/>
      <c r="G125" s="40"/>
      <c r="H125" s="40"/>
      <c r="I125" s="40"/>
      <c r="J125" s="40"/>
      <c r="K125" s="40"/>
      <c r="L125" s="40"/>
      <c r="M125" s="40"/>
      <c r="N125" s="28"/>
      <c r="O125" s="28"/>
      <c r="P125" s="28"/>
      <c r="Q125" s="28"/>
      <c r="R125" s="28"/>
      <c r="S125" s="28"/>
      <c r="T125" s="28"/>
      <c r="U125" s="28"/>
      <c r="V125" s="28"/>
      <c r="W125" s="28"/>
      <c r="X125" s="28"/>
      <c r="Y125" s="28"/>
      <c r="Z125" s="28"/>
    </row>
    <row r="126" spans="1:26" x14ac:dyDescent="0.2">
      <c r="A126" s="40"/>
      <c r="B126" s="40">
        <v>2</v>
      </c>
      <c r="C126" s="40" t="s">
        <v>184</v>
      </c>
      <c r="D126" s="10"/>
      <c r="E126"/>
      <c r="F126" s="40"/>
      <c r="G126" s="40"/>
      <c r="H126" s="40"/>
      <c r="I126" s="40"/>
      <c r="J126" s="40"/>
      <c r="K126" s="40"/>
      <c r="L126" s="40"/>
      <c r="M126" s="40"/>
      <c r="N126" s="28"/>
      <c r="O126" s="28"/>
      <c r="P126" s="28"/>
      <c r="Q126" s="28"/>
      <c r="R126" s="28"/>
      <c r="S126" s="28"/>
      <c r="T126" s="28"/>
      <c r="U126" s="28"/>
      <c r="V126" s="28"/>
      <c r="W126" s="28"/>
      <c r="X126" s="28"/>
      <c r="Y126" s="28"/>
      <c r="Z126" s="28"/>
    </row>
    <row r="127" spans="1:26" x14ac:dyDescent="0.2">
      <c r="A127" s="40"/>
      <c r="B127" s="40">
        <v>3</v>
      </c>
      <c r="C127" s="40" t="s">
        <v>185</v>
      </c>
      <c r="D127" s="10"/>
      <c r="E127"/>
      <c r="F127" s="40"/>
      <c r="G127" s="40"/>
      <c r="H127" s="40"/>
      <c r="I127" s="40"/>
      <c r="J127" s="40"/>
      <c r="K127" s="40"/>
      <c r="L127" s="40"/>
      <c r="M127" s="40"/>
      <c r="N127" s="28"/>
      <c r="O127" s="28"/>
      <c r="P127" s="28"/>
      <c r="Q127" s="28"/>
      <c r="R127" s="28"/>
      <c r="S127" s="28"/>
      <c r="T127" s="28"/>
      <c r="U127" s="28"/>
      <c r="V127" s="28"/>
      <c r="W127" s="28"/>
      <c r="X127" s="28"/>
      <c r="Y127" s="28"/>
      <c r="Z127" s="28"/>
    </row>
    <row r="128" spans="1:26" x14ac:dyDescent="0.2">
      <c r="A128" s="40"/>
      <c r="B128" s="40"/>
      <c r="C128" s="40"/>
      <c r="D128" s="10"/>
      <c r="E128"/>
      <c r="F128" s="40"/>
      <c r="G128" s="40"/>
      <c r="H128" s="40"/>
      <c r="I128" s="40"/>
      <c r="J128" s="40"/>
      <c r="K128" s="40"/>
      <c r="L128" s="40"/>
      <c r="M128" s="40"/>
      <c r="N128" s="28"/>
      <c r="O128" s="28"/>
      <c r="P128" s="28"/>
      <c r="Q128" s="28"/>
      <c r="R128" s="28"/>
      <c r="S128" s="28"/>
      <c r="T128" s="28"/>
      <c r="U128" s="28"/>
      <c r="V128" s="28"/>
      <c r="W128" s="28"/>
      <c r="X128" s="28"/>
      <c r="Y128" s="28"/>
      <c r="Z128" s="28"/>
    </row>
    <row r="129" spans="1:26" x14ac:dyDescent="0.2">
      <c r="A129" s="81" t="s">
        <v>186</v>
      </c>
      <c r="B129" s="40"/>
      <c r="C129" s="40"/>
      <c r="D129" s="10"/>
      <c r="E129"/>
      <c r="F129" s="40"/>
      <c r="G129" s="40"/>
      <c r="H129" s="40"/>
      <c r="I129" s="40"/>
      <c r="J129" s="40"/>
      <c r="K129" s="40"/>
      <c r="L129" s="40"/>
      <c r="M129" s="40"/>
      <c r="N129" s="28"/>
      <c r="O129" s="28"/>
      <c r="P129" s="28"/>
      <c r="Q129" s="28"/>
      <c r="R129" s="28"/>
      <c r="S129" s="28"/>
      <c r="T129" s="28"/>
      <c r="U129" s="28"/>
      <c r="V129" s="28"/>
      <c r="W129" s="28"/>
      <c r="X129" s="28"/>
      <c r="Y129" s="28"/>
      <c r="Z129" s="28"/>
    </row>
    <row r="130" spans="1:26" x14ac:dyDescent="0.2">
      <c r="A130" s="40" t="s">
        <v>187</v>
      </c>
      <c r="B130" s="40"/>
      <c r="C130" s="40"/>
      <c r="D130" s="10"/>
      <c r="E130"/>
      <c r="F130" s="40"/>
      <c r="G130" s="40"/>
      <c r="H130" s="40"/>
      <c r="I130" s="40"/>
      <c r="J130" s="40"/>
      <c r="K130" s="40"/>
      <c r="L130" s="40"/>
      <c r="M130" s="40"/>
      <c r="N130" s="28"/>
      <c r="O130" s="28"/>
      <c r="P130" s="28"/>
      <c r="Q130" s="28"/>
      <c r="R130" s="28"/>
      <c r="S130" s="28"/>
      <c r="T130" s="28"/>
      <c r="U130" s="28"/>
      <c r="V130" s="28"/>
      <c r="W130" s="28"/>
      <c r="X130" s="28"/>
      <c r="Y130" s="28"/>
      <c r="Z130" s="28"/>
    </row>
    <row r="131" spans="1:26" x14ac:dyDescent="0.2">
      <c r="A131" s="40"/>
      <c r="B131" s="40"/>
      <c r="C131" s="40"/>
      <c r="D131" s="10"/>
      <c r="E131"/>
      <c r="F131" s="40"/>
      <c r="G131" s="40"/>
      <c r="H131" s="40"/>
      <c r="I131" s="40"/>
      <c r="J131" s="40"/>
      <c r="K131" s="40"/>
      <c r="L131" s="40"/>
      <c r="M131" s="40"/>
      <c r="N131" s="28"/>
      <c r="O131" s="28"/>
      <c r="P131" s="28"/>
      <c r="Q131" s="28"/>
      <c r="R131" s="28"/>
      <c r="S131" s="28"/>
      <c r="T131" s="28"/>
      <c r="U131" s="28"/>
      <c r="V131" s="28"/>
      <c r="W131" s="28"/>
      <c r="X131" s="28"/>
      <c r="Y131" s="28"/>
      <c r="Z131" s="28"/>
    </row>
    <row r="132" spans="1:26" x14ac:dyDescent="0.2">
      <c r="A132" s="84" t="s">
        <v>188</v>
      </c>
      <c r="B132" s="40"/>
      <c r="C132" s="40"/>
      <c r="D132" s="10"/>
      <c r="E132"/>
      <c r="F132" s="40"/>
      <c r="G132" s="40"/>
      <c r="H132" s="40"/>
      <c r="I132" s="40"/>
      <c r="J132" s="40"/>
      <c r="K132" s="40"/>
      <c r="L132" s="40"/>
      <c r="M132" s="40"/>
      <c r="N132" s="28"/>
      <c r="O132" s="28"/>
      <c r="P132" s="28"/>
      <c r="Q132" s="28"/>
      <c r="R132" s="28"/>
      <c r="S132" s="28"/>
      <c r="T132" s="28"/>
      <c r="U132" s="28"/>
      <c r="V132" s="28"/>
      <c r="W132" s="28"/>
      <c r="X132" s="28"/>
      <c r="Y132" s="28"/>
      <c r="Z132" s="28"/>
    </row>
    <row r="133" spans="1:26" ht="12.75" customHeight="1" x14ac:dyDescent="0.2">
      <c r="A133" s="164" t="s">
        <v>208</v>
      </c>
      <c r="B133" s="164"/>
      <c r="C133" s="164"/>
      <c r="D133" s="164"/>
      <c r="E133" s="164"/>
      <c r="F133" s="164"/>
      <c r="G133" s="164"/>
      <c r="H133" s="164"/>
      <c r="I133" s="164"/>
      <c r="J133" s="164"/>
      <c r="K133" s="164"/>
      <c r="L133" s="164"/>
      <c r="M133" s="40"/>
      <c r="N133" s="28"/>
      <c r="O133" s="28"/>
      <c r="P133" s="28"/>
      <c r="Q133" s="28"/>
      <c r="R133" s="28"/>
      <c r="S133" s="28"/>
      <c r="T133" s="28"/>
      <c r="U133" s="28"/>
      <c r="V133" s="28"/>
      <c r="W133" s="28"/>
      <c r="X133" s="28"/>
      <c r="Y133" s="28"/>
      <c r="Z133" s="28"/>
    </row>
    <row r="134" spans="1:26" x14ac:dyDescent="0.2">
      <c r="A134" s="164"/>
      <c r="B134" s="164"/>
      <c r="C134" s="164"/>
      <c r="D134" s="164"/>
      <c r="E134" s="164"/>
      <c r="F134" s="164"/>
      <c r="G134" s="164"/>
      <c r="H134" s="164"/>
      <c r="I134" s="164"/>
      <c r="J134" s="164"/>
      <c r="K134" s="164"/>
      <c r="L134" s="164"/>
      <c r="M134" s="40"/>
      <c r="N134" s="28"/>
      <c r="O134" s="28"/>
      <c r="P134" s="28"/>
      <c r="Q134" s="28"/>
      <c r="R134" s="28"/>
      <c r="S134" s="28"/>
      <c r="T134" s="28"/>
      <c r="U134" s="28"/>
      <c r="V134" s="28"/>
      <c r="W134" s="28"/>
      <c r="X134" s="28"/>
      <c r="Y134" s="28"/>
      <c r="Z134" s="28"/>
    </row>
    <row r="135" spans="1:26" x14ac:dyDescent="0.2">
      <c r="A135" s="164"/>
      <c r="B135" s="164"/>
      <c r="C135" s="164"/>
      <c r="D135" s="164"/>
      <c r="E135" s="164"/>
      <c r="F135" s="164"/>
      <c r="G135" s="164"/>
      <c r="H135" s="164"/>
      <c r="I135" s="164"/>
      <c r="J135" s="164"/>
      <c r="K135" s="164"/>
      <c r="L135" s="164"/>
      <c r="M135" s="40"/>
      <c r="N135" s="28"/>
      <c r="O135" s="28"/>
      <c r="P135" s="28"/>
      <c r="Q135" s="28"/>
      <c r="R135" s="28"/>
      <c r="S135" s="28"/>
      <c r="T135" s="28"/>
      <c r="U135" s="28"/>
      <c r="V135" s="28"/>
      <c r="W135" s="28"/>
      <c r="X135" s="28"/>
      <c r="Y135" s="28"/>
      <c r="Z135" s="28"/>
    </row>
    <row r="136" spans="1:26" x14ac:dyDescent="0.2">
      <c r="A136" s="164"/>
      <c r="B136" s="164"/>
      <c r="C136" s="164"/>
      <c r="D136" s="164"/>
      <c r="E136" s="164"/>
      <c r="F136" s="164"/>
      <c r="G136" s="164"/>
      <c r="H136" s="164"/>
      <c r="I136" s="164"/>
      <c r="J136" s="164"/>
      <c r="K136" s="164"/>
      <c r="L136" s="164"/>
      <c r="M136" s="40"/>
      <c r="N136" s="28"/>
      <c r="O136" s="28"/>
      <c r="P136" s="28"/>
      <c r="Q136" s="28"/>
      <c r="R136" s="28"/>
      <c r="S136" s="28"/>
      <c r="T136" s="28"/>
      <c r="U136" s="28"/>
      <c r="V136" s="28"/>
      <c r="W136" s="28"/>
      <c r="X136" s="28"/>
      <c r="Y136" s="28"/>
      <c r="Z136" s="28"/>
    </row>
    <row r="137" spans="1:26" x14ac:dyDescent="0.2">
      <c r="A137" s="40" t="s">
        <v>189</v>
      </c>
      <c r="B137" s="40"/>
      <c r="C137" s="40"/>
      <c r="D137" s="10"/>
      <c r="E137"/>
      <c r="F137" s="40"/>
      <c r="G137" s="40"/>
      <c r="H137" s="40"/>
      <c r="I137" s="40"/>
      <c r="J137" s="40"/>
      <c r="K137" s="40"/>
      <c r="L137" s="40"/>
      <c r="M137" s="40"/>
      <c r="N137" s="28"/>
      <c r="O137" s="28"/>
      <c r="P137" s="28"/>
      <c r="Q137" s="28"/>
      <c r="R137" s="28"/>
      <c r="S137" s="28"/>
      <c r="T137" s="28"/>
      <c r="U137" s="28"/>
      <c r="V137" s="28"/>
      <c r="W137" s="28"/>
      <c r="X137" s="28"/>
      <c r="Y137" s="28"/>
      <c r="Z137" s="28"/>
    </row>
    <row r="138" spans="1:26" x14ac:dyDescent="0.2">
      <c r="A138" s="82" t="s">
        <v>200</v>
      </c>
      <c r="B138" s="40"/>
      <c r="C138" s="40"/>
      <c r="D138" s="10"/>
      <c r="E138"/>
      <c r="F138" s="40"/>
      <c r="G138" s="40"/>
      <c r="H138" s="40"/>
      <c r="I138" s="40"/>
      <c r="J138" s="40"/>
      <c r="K138" s="40"/>
      <c r="L138" s="40"/>
      <c r="M138" s="40"/>
      <c r="N138" s="28"/>
      <c r="O138" s="28"/>
      <c r="P138" s="28"/>
      <c r="Q138" s="28"/>
      <c r="R138" s="28"/>
      <c r="S138" s="28"/>
      <c r="T138" s="28"/>
      <c r="U138" s="28"/>
      <c r="V138" s="28"/>
      <c r="W138" s="28"/>
      <c r="X138" s="28"/>
      <c r="Y138" s="28"/>
      <c r="Z138" s="28"/>
    </row>
    <row r="139" spans="1:26" ht="13.8" thickBot="1" x14ac:dyDescent="0.25">
      <c r="A139" s="40"/>
      <c r="B139" s="84" t="s">
        <v>190</v>
      </c>
      <c r="C139" s="40"/>
      <c r="D139" s="176" t="s">
        <v>191</v>
      </c>
      <c r="E139" s="176"/>
      <c r="F139" s="176"/>
      <c r="G139" s="176"/>
      <c r="I139" s="85" t="s">
        <v>192</v>
      </c>
      <c r="J139" s="40"/>
      <c r="K139" s="40"/>
      <c r="L139" s="40"/>
      <c r="M139" s="40"/>
      <c r="N139" s="28"/>
      <c r="O139" s="28"/>
      <c r="P139" s="28"/>
      <c r="Q139" s="28"/>
      <c r="R139" s="28"/>
      <c r="S139" s="28"/>
      <c r="T139" s="28"/>
      <c r="U139" s="28"/>
      <c r="V139" s="28"/>
      <c r="W139" s="28"/>
      <c r="X139" s="28"/>
      <c r="Y139" s="28"/>
      <c r="Z139" s="28"/>
    </row>
    <row r="140" spans="1:26" x14ac:dyDescent="0.2">
      <c r="A140" s="40"/>
      <c r="B140" s="40" t="s">
        <v>193</v>
      </c>
      <c r="C140" s="40"/>
      <c r="D140" s="10"/>
      <c r="E140" s="86" t="s">
        <v>194</v>
      </c>
      <c r="F140" s="82" t="str">
        <f>"I'm named "&amp;B140</f>
        <v>I'm named N.c</v>
      </c>
      <c r="G140" s="40"/>
      <c r="H140" s="40"/>
      <c r="I140" s="40"/>
      <c r="J140" s="40"/>
      <c r="K140" s="40"/>
      <c r="L140" s="40"/>
      <c r="M140" s="40"/>
      <c r="N140" s="28"/>
      <c r="O140" s="28"/>
      <c r="P140" s="28"/>
      <c r="Q140" s="28"/>
      <c r="R140" s="28"/>
      <c r="S140" s="28"/>
      <c r="T140" s="28"/>
      <c r="U140" s="28"/>
      <c r="V140" s="28"/>
      <c r="W140" s="28"/>
      <c r="X140" s="28"/>
      <c r="Y140" s="28"/>
      <c r="Z140" s="28"/>
    </row>
    <row r="141" spans="1:26" x14ac:dyDescent="0.2">
      <c r="A141" s="40"/>
      <c r="B141" s="40" t="s">
        <v>195</v>
      </c>
      <c r="C141" s="40"/>
      <c r="D141" s="10"/>
      <c r="E141" s="87" t="s">
        <v>196</v>
      </c>
      <c r="F141" s="82" t="str">
        <f t="shared" ref="F141:F143" si="0">"I'm named "&amp;B141</f>
        <v>I'm named φA.st</v>
      </c>
      <c r="G141" s="40"/>
      <c r="H141" s="40"/>
      <c r="I141" s="40"/>
      <c r="J141" s="40"/>
      <c r="K141" s="40"/>
      <c r="L141" s="40"/>
      <c r="M141" s="40"/>
      <c r="N141" s="28"/>
      <c r="O141" s="28"/>
      <c r="P141" s="28"/>
      <c r="Q141" s="28"/>
      <c r="R141" s="28"/>
      <c r="S141" s="28"/>
      <c r="T141" s="28"/>
      <c r="U141" s="28"/>
      <c r="V141" s="28"/>
      <c r="W141" s="28"/>
      <c r="X141" s="28"/>
      <c r="Y141" s="28"/>
      <c r="Z141" s="28"/>
    </row>
    <row r="142" spans="1:26" x14ac:dyDescent="0.2">
      <c r="A142" s="40"/>
      <c r="B142" s="40" t="s">
        <v>197</v>
      </c>
      <c r="C142" s="40"/>
      <c r="D142" s="10"/>
      <c r="E142" s="87" t="s">
        <v>198</v>
      </c>
      <c r="F142" s="82" t="str">
        <f t="shared" si="0"/>
        <v>I'm named Text.ex</v>
      </c>
      <c r="G142" s="40"/>
      <c r="H142" s="40"/>
      <c r="I142" s="40"/>
      <c r="J142" s="40"/>
      <c r="K142" s="40"/>
      <c r="L142" s="40"/>
      <c r="M142" s="40"/>
      <c r="N142" s="28"/>
      <c r="O142" s="28"/>
      <c r="P142" s="28"/>
      <c r="Q142" s="28"/>
      <c r="R142" s="28"/>
      <c r="S142" s="28"/>
      <c r="T142" s="28"/>
      <c r="U142" s="28"/>
      <c r="V142" s="28"/>
      <c r="W142" s="28"/>
      <c r="X142" s="28"/>
      <c r="Y142" s="28"/>
      <c r="Z142" s="28"/>
    </row>
    <row r="143" spans="1:26" ht="13.8" thickBot="1" x14ac:dyDescent="0.25">
      <c r="A143" s="40"/>
      <c r="B143" s="40" t="s">
        <v>199</v>
      </c>
      <c r="C143" s="40"/>
      <c r="D143" s="10"/>
      <c r="E143" s="101" t="s">
        <v>199</v>
      </c>
      <c r="F143" s="82" t="str">
        <f t="shared" si="0"/>
        <v>I'm named NoDotsOK</v>
      </c>
      <c r="G143" s="40"/>
      <c r="H143" s="40"/>
      <c r="I143" s="40"/>
      <c r="J143" s="40"/>
      <c r="K143" s="40"/>
      <c r="L143" s="40"/>
      <c r="M143" s="40"/>
      <c r="N143" s="28"/>
      <c r="O143" s="28"/>
      <c r="P143" s="28"/>
      <c r="Q143" s="28"/>
      <c r="R143" s="28"/>
      <c r="S143" s="28"/>
      <c r="T143" s="28"/>
      <c r="U143" s="28"/>
      <c r="V143" s="28"/>
      <c r="W143" s="28"/>
      <c r="X143" s="28"/>
      <c r="Y143" s="28"/>
      <c r="Z143" s="28"/>
    </row>
    <row r="144" spans="1:26" x14ac:dyDescent="0.2">
      <c r="A144" s="40"/>
      <c r="B144" s="40"/>
      <c r="C144" s="40"/>
      <c r="D144" s="10"/>
      <c r="E144"/>
      <c r="F144" s="40"/>
      <c r="G144" s="40"/>
      <c r="H144" s="40"/>
      <c r="I144" s="40"/>
      <c r="J144" s="40"/>
      <c r="K144" s="40"/>
      <c r="L144" s="40"/>
      <c r="M144" s="40"/>
      <c r="N144" s="28"/>
      <c r="O144" s="28"/>
      <c r="P144" s="28"/>
      <c r="Q144" s="28"/>
      <c r="R144" s="28"/>
      <c r="S144" s="28"/>
      <c r="T144" s="28"/>
      <c r="U144" s="28"/>
      <c r="V144" s="28"/>
      <c r="W144" s="28"/>
      <c r="X144" s="28"/>
      <c r="Y144" s="28"/>
      <c r="Z144" s="28"/>
    </row>
    <row r="145" spans="14:26" x14ac:dyDescent="0.2">
      <c r="N145" s="28"/>
      <c r="O145" s="28"/>
      <c r="P145" s="28"/>
      <c r="Q145" s="28"/>
      <c r="R145" s="28"/>
      <c r="S145" s="28"/>
      <c r="T145" s="28"/>
      <c r="U145" s="28"/>
      <c r="V145" s="28"/>
      <c r="W145" s="28"/>
      <c r="X145" s="28"/>
      <c r="Y145" s="28"/>
      <c r="Z145" s="28"/>
    </row>
    <row r="146" spans="14:26" x14ac:dyDescent="0.2">
      <c r="N146" s="28"/>
      <c r="O146" s="28"/>
      <c r="P146" s="28"/>
      <c r="Q146" s="28"/>
      <c r="R146" s="28"/>
      <c r="S146" s="28"/>
      <c r="T146" s="28"/>
      <c r="U146" s="28"/>
      <c r="V146" s="28"/>
      <c r="W146" s="28"/>
      <c r="X146" s="28"/>
      <c r="Y146" s="28"/>
      <c r="Z146" s="28"/>
    </row>
    <row r="147" spans="14:26" x14ac:dyDescent="0.2">
      <c r="N147" s="28"/>
      <c r="O147" s="28"/>
      <c r="P147" s="28"/>
      <c r="Q147" s="28"/>
      <c r="R147" s="28"/>
      <c r="S147" s="28"/>
      <c r="T147" s="28"/>
      <c r="U147" s="28"/>
      <c r="V147" s="28"/>
      <c r="W147" s="28"/>
      <c r="X147" s="28"/>
      <c r="Y147" s="28"/>
      <c r="Z147" s="28"/>
    </row>
    <row r="148" spans="14:26" x14ac:dyDescent="0.2">
      <c r="N148" s="28"/>
      <c r="O148" s="28"/>
      <c r="P148" s="28"/>
      <c r="Q148" s="28"/>
      <c r="R148" s="28"/>
      <c r="S148" s="28"/>
      <c r="T148" s="28"/>
      <c r="U148" s="28"/>
      <c r="V148" s="28"/>
      <c r="W148" s="28"/>
      <c r="X148" s="28"/>
      <c r="Y148" s="28"/>
      <c r="Z148" s="28"/>
    </row>
    <row r="149" spans="14:26" x14ac:dyDescent="0.2">
      <c r="N149" s="28"/>
      <c r="O149" s="28"/>
      <c r="P149" s="28"/>
      <c r="Q149" s="28"/>
      <c r="R149" s="28"/>
      <c r="S149" s="28"/>
      <c r="T149" s="28"/>
      <c r="U149" s="28"/>
      <c r="V149" s="28"/>
      <c r="W149" s="28"/>
      <c r="X149" s="28"/>
      <c r="Y149" s="28"/>
      <c r="Z149" s="28"/>
    </row>
    <row r="150" spans="14:26" x14ac:dyDescent="0.2">
      <c r="N150" s="28"/>
      <c r="O150" s="28"/>
      <c r="P150" s="28"/>
      <c r="Q150" s="28"/>
      <c r="R150" s="28"/>
      <c r="S150" s="28"/>
      <c r="T150" s="28"/>
      <c r="U150" s="28"/>
      <c r="V150" s="28"/>
      <c r="W150" s="28"/>
      <c r="X150" s="28"/>
      <c r="Y150" s="28"/>
      <c r="Z150" s="28"/>
    </row>
    <row r="151" spans="14:26" x14ac:dyDescent="0.2">
      <c r="N151" s="28"/>
      <c r="O151" s="28"/>
      <c r="P151" s="28"/>
      <c r="Q151" s="28"/>
      <c r="R151" s="28"/>
      <c r="S151" s="28"/>
      <c r="T151" s="28"/>
      <c r="U151" s="28"/>
      <c r="V151" s="28"/>
      <c r="W151" s="28"/>
      <c r="X151" s="28"/>
      <c r="Y151" s="28"/>
      <c r="Z151" s="28"/>
    </row>
    <row r="152" spans="14:26" x14ac:dyDescent="0.2">
      <c r="N152" s="28"/>
      <c r="O152" s="28"/>
      <c r="P152" s="28"/>
      <c r="Q152" s="28"/>
      <c r="R152" s="28"/>
      <c r="S152" s="28"/>
      <c r="T152" s="28"/>
      <c r="U152" s="28"/>
      <c r="V152" s="28"/>
      <c r="W152" s="28"/>
      <c r="X152" s="28"/>
      <c r="Y152" s="28"/>
      <c r="Z152" s="28"/>
    </row>
    <row r="153" spans="14:26" x14ac:dyDescent="0.2">
      <c r="N153" s="28"/>
      <c r="O153" s="28"/>
      <c r="P153" s="28"/>
      <c r="Q153" s="28"/>
      <c r="R153" s="28"/>
      <c r="S153" s="28"/>
      <c r="T153" s="28"/>
      <c r="U153" s="28"/>
      <c r="V153" s="28"/>
      <c r="W153" s="28"/>
      <c r="X153" s="28"/>
      <c r="Y153" s="28"/>
      <c r="Z153" s="28"/>
    </row>
    <row r="154" spans="14:26" x14ac:dyDescent="0.2">
      <c r="N154" s="28"/>
      <c r="O154" s="28"/>
      <c r="P154" s="28"/>
      <c r="Q154" s="28"/>
      <c r="R154" s="28"/>
      <c r="S154" s="28"/>
      <c r="T154" s="28"/>
      <c r="U154" s="28"/>
      <c r="V154" s="28"/>
      <c r="W154" s="28"/>
      <c r="X154" s="28"/>
      <c r="Y154" s="28"/>
      <c r="Z154" s="28"/>
    </row>
    <row r="155" spans="14:26" x14ac:dyDescent="0.2">
      <c r="N155" s="28"/>
      <c r="O155" s="28"/>
      <c r="P155" s="28"/>
      <c r="Q155" s="28"/>
      <c r="R155" s="28"/>
      <c r="S155" s="28"/>
      <c r="T155" s="28"/>
      <c r="U155" s="28"/>
      <c r="V155" s="28"/>
      <c r="W155" s="28"/>
      <c r="X155" s="28"/>
      <c r="Y155" s="28"/>
      <c r="Z155" s="28"/>
    </row>
    <row r="156" spans="14:26" x14ac:dyDescent="0.2">
      <c r="N156" s="28"/>
      <c r="O156" s="28"/>
      <c r="P156" s="28"/>
      <c r="Q156" s="28"/>
      <c r="R156" s="28"/>
      <c r="S156" s="28"/>
      <c r="T156" s="28"/>
      <c r="U156" s="28"/>
      <c r="V156" s="28"/>
      <c r="W156" s="28"/>
      <c r="X156" s="28"/>
      <c r="Y156" s="28"/>
      <c r="Z156" s="28"/>
    </row>
    <row r="157" spans="14:26" x14ac:dyDescent="0.2">
      <c r="N157" s="28"/>
      <c r="O157" s="28"/>
      <c r="P157" s="28"/>
      <c r="Q157" s="28"/>
      <c r="R157" s="28"/>
      <c r="S157" s="28"/>
      <c r="T157" s="28"/>
      <c r="U157" s="28"/>
      <c r="V157" s="28"/>
      <c r="W157" s="28"/>
      <c r="X157" s="28"/>
      <c r="Y157" s="28"/>
      <c r="Z157" s="28"/>
    </row>
    <row r="158" spans="14:26" x14ac:dyDescent="0.2">
      <c r="N158" s="28"/>
      <c r="O158" s="28"/>
      <c r="P158" s="28"/>
      <c r="Q158" s="28"/>
      <c r="R158" s="28"/>
      <c r="S158" s="28"/>
      <c r="T158" s="28"/>
      <c r="U158" s="28"/>
      <c r="V158" s="28"/>
      <c r="W158" s="28"/>
      <c r="X158" s="28"/>
      <c r="Y158" s="28"/>
      <c r="Z158" s="28"/>
    </row>
    <row r="159" spans="14:26" x14ac:dyDescent="0.2">
      <c r="N159" s="28"/>
      <c r="O159" s="28"/>
      <c r="P159" s="28"/>
      <c r="Q159" s="28"/>
      <c r="R159" s="28"/>
      <c r="S159" s="28"/>
      <c r="T159" s="28"/>
      <c r="U159" s="28"/>
      <c r="V159" s="28"/>
      <c r="W159" s="28"/>
      <c r="X159" s="28"/>
      <c r="Y159" s="28"/>
      <c r="Z159" s="28"/>
    </row>
    <row r="160" spans="14:26" x14ac:dyDescent="0.2">
      <c r="N160" s="28"/>
      <c r="O160" s="28"/>
      <c r="P160" s="28"/>
      <c r="Q160" s="28"/>
      <c r="R160" s="28"/>
      <c r="S160" s="28"/>
      <c r="T160" s="28"/>
      <c r="U160" s="28"/>
      <c r="V160" s="28"/>
      <c r="W160" s="28"/>
      <c r="X160" s="28"/>
      <c r="Y160" s="28"/>
      <c r="Z160" s="28"/>
    </row>
    <row r="161" spans="14:26" x14ac:dyDescent="0.2">
      <c r="N161" s="28"/>
      <c r="O161" s="28"/>
      <c r="P161" s="28"/>
      <c r="Q161" s="28"/>
      <c r="R161" s="28"/>
      <c r="S161" s="28"/>
      <c r="T161" s="28"/>
      <c r="U161" s="28"/>
      <c r="V161" s="28"/>
      <c r="W161" s="28"/>
      <c r="X161" s="28"/>
      <c r="Y161" s="28"/>
      <c r="Z161" s="28"/>
    </row>
    <row r="162" spans="14:26" x14ac:dyDescent="0.2">
      <c r="N162" s="28"/>
      <c r="O162" s="28"/>
      <c r="P162" s="28"/>
      <c r="Q162" s="28"/>
      <c r="R162" s="28"/>
      <c r="S162" s="28"/>
      <c r="T162" s="28"/>
      <c r="U162" s="28"/>
      <c r="V162" s="28"/>
      <c r="W162" s="28"/>
      <c r="X162" s="28"/>
      <c r="Y162" s="28"/>
      <c r="Z162" s="28"/>
    </row>
    <row r="163" spans="14:26" x14ac:dyDescent="0.2">
      <c r="N163" s="28"/>
      <c r="O163" s="28"/>
      <c r="P163" s="28"/>
      <c r="Q163" s="28"/>
      <c r="R163" s="28"/>
      <c r="S163" s="28"/>
      <c r="T163" s="28"/>
      <c r="U163" s="28"/>
      <c r="V163" s="28"/>
      <c r="W163" s="28"/>
      <c r="X163" s="28"/>
      <c r="Y163" s="28"/>
      <c r="Z163" s="28"/>
    </row>
  </sheetData>
  <mergeCells count="67">
    <mergeCell ref="A9:M12"/>
    <mergeCell ref="A14:M17"/>
    <mergeCell ref="A19:M22"/>
    <mergeCell ref="A24:M27"/>
    <mergeCell ref="A29:M32"/>
    <mergeCell ref="L4:M4"/>
    <mergeCell ref="B4:J4"/>
    <mergeCell ref="B5:G5"/>
    <mergeCell ref="B6:G6"/>
    <mergeCell ref="J5:M5"/>
    <mergeCell ref="H5:I5"/>
    <mergeCell ref="H6:I6"/>
    <mergeCell ref="L6:M6"/>
    <mergeCell ref="C37:M37"/>
    <mergeCell ref="C57:E57"/>
    <mergeCell ref="A45:M45"/>
    <mergeCell ref="C35:M36"/>
    <mergeCell ref="A34:B36"/>
    <mergeCell ref="C34:M34"/>
    <mergeCell ref="A37:B39"/>
    <mergeCell ref="V4:Z5"/>
    <mergeCell ref="V7:Z7"/>
    <mergeCell ref="A75:M81"/>
    <mergeCell ref="D62:E62"/>
    <mergeCell ref="A62:C62"/>
    <mergeCell ref="B70:M70"/>
    <mergeCell ref="H57:I57"/>
    <mergeCell ref="F57:G57"/>
    <mergeCell ref="B71:M71"/>
    <mergeCell ref="B65:M65"/>
    <mergeCell ref="B66:M66"/>
    <mergeCell ref="B69:M69"/>
    <mergeCell ref="A40:B42"/>
    <mergeCell ref="C40:M40"/>
    <mergeCell ref="C38:M39"/>
    <mergeCell ref="C41:M42"/>
    <mergeCell ref="D139:G139"/>
    <mergeCell ref="A44:B44"/>
    <mergeCell ref="A46:E46"/>
    <mergeCell ref="A55:C55"/>
    <mergeCell ref="A56:C56"/>
    <mergeCell ref="A54:C54"/>
    <mergeCell ref="B68:M68"/>
    <mergeCell ref="J57:K57"/>
    <mergeCell ref="F58:G58"/>
    <mergeCell ref="B67:M67"/>
    <mergeCell ref="C58:E58"/>
    <mergeCell ref="C59:E59"/>
    <mergeCell ref="H59:I59"/>
    <mergeCell ref="C61:E61"/>
    <mergeCell ref="C60:E60"/>
    <mergeCell ref="F59:G59"/>
    <mergeCell ref="A120:L122"/>
    <mergeCell ref="A133:L136"/>
    <mergeCell ref="D54:K54"/>
    <mergeCell ref="D55:K55"/>
    <mergeCell ref="D56:K56"/>
    <mergeCell ref="J58:K58"/>
    <mergeCell ref="J59:K59"/>
    <mergeCell ref="J60:K60"/>
    <mergeCell ref="J61:K61"/>
    <mergeCell ref="H58:I58"/>
    <mergeCell ref="H60:I60"/>
    <mergeCell ref="H61:I61"/>
    <mergeCell ref="F60:G60"/>
    <mergeCell ref="F61:G61"/>
    <mergeCell ref="A100:L101"/>
  </mergeCells>
  <phoneticPr fontId="7" type="noConversion"/>
  <hyperlinks>
    <hyperlink ref="A46" r:id="rId1" xr:uid="{00000000-0004-0000-0000-000000000000}"/>
  </hyperlinks>
  <pageMargins left="0.70866141732283472" right="0.39370078740157483" top="0.23622047244094491" bottom="0.74803149606299213" header="0" footer="0.31496062992125984"/>
  <pageSetup paperSize="9" fitToHeight="3" orientation="portrait" horizontalDpi="300" verticalDpi="300" r:id="rId2"/>
  <headerFooter>
    <oddFooter>&amp;L&amp;G&amp;C&amp;6
Page &amp;P of &amp;N&amp;R&amp;6&amp;G
&amp;"Arial,Bold"Filename:&amp;"Arial,Regular" &amp;F 
&amp;"Arial,Bold"Worksheet: &amp;"Arial,Regular"&amp;A&amp;"Arial,Bold"
Printed:&amp;"Arial,Regular" &amp;D - &amp;T</oddFooter>
  </headerFooter>
  <rowBreaks count="2" manualBreakCount="2">
    <brk id="51" max="12" man="1"/>
    <brk id="96" max="12" man="1"/>
  </rowBreaks>
  <drawing r:id="rId3"/>
  <legacyDrawing r:id="rId4"/>
  <legacyDrawingHF r:id="rId5"/>
  <controls>
    <mc:AlternateContent xmlns:mc="http://schemas.openxmlformats.org/markup-compatibility/2006">
      <mc:Choice Requires="x14">
        <control shapeId="24656" r:id="rId6" name="OptionButton8">
          <controlPr defaultSize="0" autoFill="0" autoLine="0" autoPict="0" r:id="rId7">
            <anchor>
              <from>
                <xdr:col>17</xdr:col>
                <xdr:colOff>457200</xdr:colOff>
                <xdr:row>6</xdr:row>
                <xdr:rowOff>137160</xdr:rowOff>
              </from>
              <to>
                <xdr:col>20</xdr:col>
                <xdr:colOff>388620</xdr:colOff>
                <xdr:row>8</xdr:row>
                <xdr:rowOff>22860</xdr:rowOff>
              </to>
            </anchor>
          </controlPr>
        </control>
      </mc:Choice>
      <mc:Fallback>
        <control shapeId="24656" r:id="rId6" name="OptionButton8"/>
      </mc:Fallback>
    </mc:AlternateContent>
    <mc:AlternateContent xmlns:mc="http://schemas.openxmlformats.org/markup-compatibility/2006">
      <mc:Choice Requires="x14">
        <control shapeId="24654" r:id="rId8" name="OptionButton7">
          <controlPr defaultSize="0" autoFill="0" autoLine="0" autoPict="0" r:id="rId9">
            <anchor>
              <from>
                <xdr:col>17</xdr:col>
                <xdr:colOff>457200</xdr:colOff>
                <xdr:row>4</xdr:row>
                <xdr:rowOff>198120</xdr:rowOff>
              </from>
              <to>
                <xdr:col>20</xdr:col>
                <xdr:colOff>381000</xdr:colOff>
                <xdr:row>5</xdr:row>
                <xdr:rowOff>198120</xdr:rowOff>
              </to>
            </anchor>
          </controlPr>
        </control>
      </mc:Choice>
      <mc:Fallback>
        <control shapeId="24654" r:id="rId8" name="OptionButton7"/>
      </mc:Fallback>
    </mc:AlternateContent>
    <mc:AlternateContent xmlns:mc="http://schemas.openxmlformats.org/markup-compatibility/2006">
      <mc:Choice Requires="x14">
        <control shapeId="24653" r:id="rId10" name="OptionButton6">
          <controlPr defaultSize="0" autoFill="0" autoLine="0" autoPict="0" r:id="rId11">
            <anchor>
              <from>
                <xdr:col>17</xdr:col>
                <xdr:colOff>457200</xdr:colOff>
                <xdr:row>3</xdr:row>
                <xdr:rowOff>114300</xdr:rowOff>
              </from>
              <to>
                <xdr:col>20</xdr:col>
                <xdr:colOff>381000</xdr:colOff>
                <xdr:row>4</xdr:row>
                <xdr:rowOff>114300</xdr:rowOff>
              </to>
            </anchor>
          </controlPr>
        </control>
      </mc:Choice>
      <mc:Fallback>
        <control shapeId="24653" r:id="rId10" name="OptionButton6"/>
      </mc:Fallback>
    </mc:AlternateContent>
    <mc:AlternateContent xmlns:mc="http://schemas.openxmlformats.org/markup-compatibility/2006">
      <mc:Choice Requires="x14">
        <control shapeId="24657" r:id="rId12" name="Button 4177">
          <controlPr defaultSize="0" print="0" autoFill="0" autoPict="0" macro="[0]!Aurecon_logo_change">
            <anchor>
              <from>
                <xdr:col>18</xdr:col>
                <xdr:colOff>22860</xdr:colOff>
                <xdr:row>13</xdr:row>
                <xdr:rowOff>45720</xdr:rowOff>
              </from>
              <to>
                <xdr:col>20</xdr:col>
                <xdr:colOff>373380</xdr:colOff>
                <xdr:row>14</xdr:row>
                <xdr:rowOff>137160</xdr:rowOff>
              </to>
            </anchor>
          </controlPr>
        </control>
      </mc:Choice>
    </mc:AlternateContent>
    <mc:AlternateContent xmlns:mc="http://schemas.openxmlformats.org/markup-compatibility/2006">
      <mc:Choice Requires="x14">
        <control shapeId="24658" r:id="rId13" name="Button 4178">
          <controlPr defaultSize="0" print="0" autoFill="0" autoPict="0" macro="[0]!AA_logo_change">
            <anchor>
              <from>
                <xdr:col>18</xdr:col>
                <xdr:colOff>22860</xdr:colOff>
                <xdr:row>15</xdr:row>
                <xdr:rowOff>76200</xdr:rowOff>
              </from>
              <to>
                <xdr:col>20</xdr:col>
                <xdr:colOff>373380</xdr:colOff>
                <xdr:row>16</xdr:row>
                <xdr:rowOff>160020</xdr:rowOff>
              </to>
            </anchor>
          </controlPr>
        </control>
      </mc:Choice>
    </mc:AlternateContent>
    <mc:AlternateContent xmlns:mc="http://schemas.openxmlformats.org/markup-compatibility/2006">
      <mc:Choice Requires="x14">
        <control shapeId="24659" r:id="rId14" name="Button 4179">
          <controlPr defaultSize="0" print="0" autoFill="0" autoPict="0" macro="[0]!AH_logo_change">
            <anchor>
              <from>
                <xdr:col>18</xdr:col>
                <xdr:colOff>22860</xdr:colOff>
                <xdr:row>17</xdr:row>
                <xdr:rowOff>106680</xdr:rowOff>
              </from>
              <to>
                <xdr:col>20</xdr:col>
                <xdr:colOff>373380</xdr:colOff>
                <xdr:row>18</xdr:row>
                <xdr:rowOff>190500</xdr:rowOff>
              </to>
            </anchor>
          </controlPr>
        </control>
      </mc:Choice>
    </mc:AlternateContent>
    <mc:AlternateContent xmlns:mc="http://schemas.openxmlformats.org/markup-compatibility/2006">
      <mc:Choice Requires="x14">
        <control shapeId="24660" r:id="rId15" name="Button 4180">
          <controlPr defaultSize="0" print="0" autoFill="0" autoPict="0" macro="[0]!JKA_logo_change">
            <anchor>
              <from>
                <xdr:col>18</xdr:col>
                <xdr:colOff>22860</xdr:colOff>
                <xdr:row>19</xdr:row>
                <xdr:rowOff>137160</xdr:rowOff>
              </from>
              <to>
                <xdr:col>20</xdr:col>
                <xdr:colOff>373380</xdr:colOff>
                <xdr:row>21</xdr:row>
                <xdr:rowOff>22860</xdr:rowOff>
              </to>
            </anchor>
          </controlPr>
        </control>
      </mc:Choice>
    </mc:AlternateContent>
    <mc:AlternateContent xmlns:mc="http://schemas.openxmlformats.org/markup-compatibility/2006">
      <mc:Choice Requires="x14">
        <control shapeId="24661" r:id="rId16" name="Button 4181">
          <controlPr defaultSize="0" print="0" autoFill="0" autoPict="0" macro="[0]!AddHeaderBoxes">
            <anchor>
              <from>
                <xdr:col>18</xdr:col>
                <xdr:colOff>22860</xdr:colOff>
                <xdr:row>24</xdr:row>
                <xdr:rowOff>99060</xdr:rowOff>
              </from>
              <to>
                <xdr:col>20</xdr:col>
                <xdr:colOff>373380</xdr:colOff>
                <xdr:row>25</xdr:row>
                <xdr:rowOff>182880</xdr:rowOff>
              </to>
            </anchor>
          </controlPr>
        </control>
      </mc:Choice>
    </mc:AlternateContent>
  </controls>
  <webPublishItems count="1">
    <webPublishItem id="2572" divId="IMSS-0000-003_-_Industrial_Mechanical_Spreadsheet_Template_2572" sourceType="sheet" destinationFile="C:\Users\thomas.mccracken\Desktop\test\IMSS-0000-003_-_Industrial_Mechanical_Spreadsheet_Templat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353D30"/>
  </sheetPr>
  <dimension ref="A1:M42"/>
  <sheetViews>
    <sheetView view="pageBreakPreview" zoomScaleNormal="100" zoomScaleSheetLayoutView="100" workbookViewId="0"/>
  </sheetViews>
  <sheetFormatPr defaultColWidth="8.7109375" defaultRowHeight="10.199999999999999" x14ac:dyDescent="0.2"/>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0"/>
      <c r="B6" s="10"/>
      <c r="C6" s="10"/>
      <c r="D6" s="10"/>
      <c r="E6" s="10"/>
      <c r="F6" s="10"/>
      <c r="G6" s="10"/>
      <c r="H6" s="10"/>
      <c r="I6" s="10"/>
      <c r="J6" s="10"/>
      <c r="K6" s="10"/>
      <c r="L6" s="10"/>
      <c r="M6" s="10"/>
    </row>
    <row r="7" spans="1:13" s="11" customFormat="1" ht="12" customHeight="1" x14ac:dyDescent="0.3">
      <c r="A7" s="103" t="s">
        <v>229</v>
      </c>
      <c r="B7" s="104"/>
      <c r="C7" s="104"/>
      <c r="D7" s="104"/>
      <c r="E7" s="104"/>
      <c r="F7" s="104"/>
      <c r="G7" s="104"/>
      <c r="H7" s="104"/>
      <c r="I7" s="104"/>
      <c r="J7" s="104"/>
      <c r="K7" s="105"/>
      <c r="L7" s="105"/>
      <c r="M7" s="105"/>
    </row>
    <row r="8" spans="1:13" ht="13.8" x14ac:dyDescent="0.3">
      <c r="A8" s="104"/>
      <c r="B8" s="104"/>
      <c r="C8" s="104"/>
      <c r="D8" s="104"/>
      <c r="E8" s="104"/>
      <c r="F8" s="104"/>
      <c r="G8" s="104"/>
      <c r="H8" s="104"/>
      <c r="I8" s="104"/>
      <c r="J8" s="104"/>
      <c r="K8" s="105"/>
      <c r="L8" s="105"/>
      <c r="M8" s="105"/>
    </row>
    <row r="9" spans="1:13" ht="13.8" x14ac:dyDescent="0.3">
      <c r="A9" t="s">
        <v>236</v>
      </c>
      <c r="B9" s="104"/>
      <c r="C9" s="104"/>
      <c r="D9" s="104"/>
      <c r="E9" s="104"/>
      <c r="F9" s="105"/>
      <c r="G9" s="105"/>
      <c r="H9" s="105"/>
      <c r="I9" s="105"/>
      <c r="J9" s="105"/>
      <c r="K9" s="105"/>
      <c r="L9" s="105"/>
      <c r="M9" s="105"/>
    </row>
    <row r="10" spans="1:13" x14ac:dyDescent="0.2">
      <c r="A10" t="s">
        <v>237</v>
      </c>
    </row>
    <row r="11" spans="1:13" x14ac:dyDescent="0.2">
      <c r="A11" t="s">
        <v>238</v>
      </c>
    </row>
    <row r="12" spans="1:13" x14ac:dyDescent="0.2">
      <c r="A12" t="s">
        <v>239</v>
      </c>
    </row>
    <row r="14" spans="1:13" ht="13.8" x14ac:dyDescent="0.3">
      <c r="A14" s="59" t="s">
        <v>230</v>
      </c>
      <c r="B14" s="104"/>
      <c r="C14" s="104"/>
      <c r="D14" s="104"/>
      <c r="E14" s="105"/>
      <c r="F14" s="105"/>
      <c r="G14" s="105"/>
    </row>
    <row r="15" spans="1:13" ht="13.8" x14ac:dyDescent="0.3">
      <c r="B15" s="104"/>
      <c r="C15" s="104"/>
      <c r="D15" s="104"/>
      <c r="E15" s="105"/>
      <c r="F15" s="105"/>
      <c r="G15" s="105"/>
    </row>
    <row r="16" spans="1:13" ht="13.8" x14ac:dyDescent="0.3">
      <c r="A16" t="s">
        <v>231</v>
      </c>
      <c r="B16" s="104"/>
      <c r="C16" s="104"/>
      <c r="D16" s="104"/>
      <c r="E16" s="105"/>
      <c r="F16" s="105"/>
      <c r="G16" s="105"/>
      <c r="K16" t="s">
        <v>322</v>
      </c>
    </row>
    <row r="17" spans="1:13" ht="13.8" x14ac:dyDescent="0.3">
      <c r="A17" s="59" t="s">
        <v>232</v>
      </c>
      <c r="B17" s="106"/>
      <c r="C17" s="106"/>
      <c r="D17" s="106"/>
      <c r="E17" s="107"/>
      <c r="F17" s="105"/>
      <c r="G17" s="105"/>
    </row>
    <row r="18" spans="1:13" ht="13.8" x14ac:dyDescent="0.3">
      <c r="A18" s="59" t="s">
        <v>233</v>
      </c>
      <c r="B18" s="106"/>
      <c r="C18" s="106"/>
      <c r="D18" s="106"/>
      <c r="E18" s="107"/>
      <c r="F18" s="105"/>
      <c r="G18" s="105"/>
    </row>
    <row r="19" spans="1:13" ht="13.8" x14ac:dyDescent="0.3">
      <c r="A19" s="59" t="s">
        <v>234</v>
      </c>
      <c r="B19" s="106"/>
      <c r="C19" s="106"/>
      <c r="D19" s="106"/>
      <c r="E19" s="107"/>
      <c r="F19" s="105"/>
      <c r="G19" s="105"/>
      <c r="H19" s="105"/>
      <c r="I19" s="105"/>
      <c r="J19" s="105"/>
      <c r="K19" s="105"/>
      <c r="L19" s="105"/>
      <c r="M19" s="105"/>
    </row>
    <row r="20" spans="1:13" ht="13.8" x14ac:dyDescent="0.3">
      <c r="A20" s="59" t="s">
        <v>235</v>
      </c>
      <c r="B20" s="106"/>
      <c r="C20" s="106"/>
      <c r="D20" s="106"/>
      <c r="E20" s="107"/>
      <c r="F20" s="105"/>
      <c r="G20" s="105"/>
      <c r="H20" s="105"/>
      <c r="I20" s="105"/>
      <c r="J20" s="105"/>
      <c r="K20" s="105"/>
      <c r="L20" s="105"/>
      <c r="M20" s="105"/>
    </row>
    <row r="21" spans="1:13" ht="13.8" x14ac:dyDescent="0.3">
      <c r="H21" s="105"/>
      <c r="I21" s="105"/>
      <c r="J21" s="105"/>
      <c r="K21" s="105"/>
      <c r="L21" s="105"/>
      <c r="M21" s="105"/>
    </row>
    <row r="22" spans="1:13" ht="13.8" x14ac:dyDescent="0.3">
      <c r="H22" s="105"/>
      <c r="I22" s="105"/>
      <c r="J22" s="105"/>
      <c r="K22" s="105"/>
      <c r="L22" s="105"/>
      <c r="M22" s="105"/>
    </row>
    <row r="23" spans="1:13" ht="13.8" x14ac:dyDescent="0.3">
      <c r="H23" s="105"/>
      <c r="I23" s="105"/>
      <c r="J23" s="105"/>
      <c r="K23" s="105"/>
      <c r="L23" s="105"/>
      <c r="M23" s="105"/>
    </row>
    <row r="24" spans="1:13" ht="13.8" x14ac:dyDescent="0.3">
      <c r="H24" s="105"/>
      <c r="I24" s="105"/>
      <c r="J24" s="105"/>
      <c r="K24" s="105"/>
      <c r="L24" s="105"/>
      <c r="M24" s="105"/>
    </row>
    <row r="25" spans="1:13" ht="13.8" x14ac:dyDescent="0.3">
      <c r="H25" s="105"/>
      <c r="I25" s="105"/>
      <c r="J25" s="105"/>
      <c r="K25" s="105"/>
      <c r="L25" s="105"/>
      <c r="M25" s="105"/>
    </row>
    <row r="26" spans="1:13" ht="13.8" x14ac:dyDescent="0.3">
      <c r="C26" s="108" t="s">
        <v>240</v>
      </c>
      <c r="F26" s="108" t="s">
        <v>240</v>
      </c>
      <c r="H26" s="105"/>
      <c r="I26" s="108" t="s">
        <v>240</v>
      </c>
      <c r="J26" s="105"/>
      <c r="K26" s="105"/>
      <c r="L26" s="105"/>
      <c r="M26" s="105"/>
    </row>
    <row r="27" spans="1:13" ht="13.8" x14ac:dyDescent="0.3">
      <c r="H27" s="105"/>
      <c r="I27" s="105"/>
      <c r="J27" s="105"/>
      <c r="K27" s="105"/>
      <c r="L27" s="105"/>
      <c r="M27" s="105"/>
    </row>
    <row r="28" spans="1:13" x14ac:dyDescent="0.2">
      <c r="C28" s="10"/>
      <c r="D28" s="10"/>
      <c r="E28" s="10"/>
      <c r="F28" s="10"/>
      <c r="G28" s="10"/>
      <c r="H28" s="10"/>
      <c r="I28" s="10"/>
      <c r="J28" s="10"/>
      <c r="K28" s="10"/>
      <c r="L28" s="10"/>
    </row>
    <row r="29" spans="1:13" x14ac:dyDescent="0.2">
      <c r="C29" s="10"/>
      <c r="D29" s="10"/>
      <c r="E29" s="10"/>
      <c r="F29" s="10"/>
      <c r="G29" s="10"/>
      <c r="H29" s="10"/>
      <c r="I29" s="10"/>
      <c r="J29" s="10"/>
      <c r="K29" s="10"/>
      <c r="L29" s="10"/>
    </row>
    <row r="30" spans="1:13" x14ac:dyDescent="0.2">
      <c r="C30" s="10"/>
      <c r="D30" s="10"/>
      <c r="E30" s="10"/>
      <c r="F30" s="10"/>
      <c r="G30" s="10"/>
      <c r="H30" s="10"/>
      <c r="I30" s="10"/>
      <c r="J30" s="10"/>
      <c r="K30" s="10"/>
      <c r="L30" s="10"/>
    </row>
    <row r="38" spans="1:11" ht="13.8" x14ac:dyDescent="0.3">
      <c r="A38" s="109" t="s">
        <v>241</v>
      </c>
      <c r="B38" s="105"/>
      <c r="C38" s="105"/>
      <c r="D38" s="105"/>
      <c r="E38" s="105"/>
      <c r="F38" s="105"/>
      <c r="G38" s="105"/>
      <c r="H38" s="105"/>
      <c r="I38" s="105"/>
      <c r="J38" s="105"/>
      <c r="K38" s="105"/>
    </row>
    <row r="39" spans="1:11" ht="13.8" x14ac:dyDescent="0.3">
      <c r="A39" s="105"/>
      <c r="B39" s="105"/>
      <c r="C39" s="105"/>
      <c r="D39" s="105"/>
      <c r="E39" s="105"/>
      <c r="F39" s="105"/>
      <c r="G39" s="105"/>
      <c r="H39" s="105"/>
      <c r="I39" s="105"/>
      <c r="J39" s="105"/>
      <c r="K39" s="105"/>
    </row>
    <row r="40" spans="1:11" ht="13.8" x14ac:dyDescent="0.3">
      <c r="A40" s="110" t="s">
        <v>242</v>
      </c>
      <c r="B40" s="105"/>
      <c r="C40" s="105"/>
      <c r="D40" s="105"/>
      <c r="E40" s="105"/>
      <c r="F40" s="105"/>
      <c r="G40" s="105"/>
      <c r="H40" s="105"/>
      <c r="I40" s="105"/>
      <c r="J40" s="105"/>
      <c r="K40" s="105"/>
    </row>
    <row r="41" spans="1:11" ht="13.8" x14ac:dyDescent="0.3">
      <c r="A41" s="110" t="s">
        <v>243</v>
      </c>
      <c r="B41" s="105"/>
      <c r="C41" s="105"/>
      <c r="D41" s="105"/>
      <c r="E41" s="105"/>
      <c r="F41" s="105"/>
      <c r="G41" s="105"/>
      <c r="H41" s="105"/>
      <c r="I41" s="105"/>
      <c r="J41" s="105"/>
      <c r="K41" s="105"/>
    </row>
    <row r="42" spans="1:11" x14ac:dyDescent="0.2">
      <c r="A42" t="s">
        <v>244</v>
      </c>
    </row>
  </sheetData>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353D30"/>
  </sheetPr>
  <dimension ref="A1:M66"/>
  <sheetViews>
    <sheetView view="pageBreakPreview" topLeftCell="A5" zoomScale="85" zoomScaleNormal="100" zoomScaleSheetLayoutView="85" workbookViewId="0"/>
  </sheetViews>
  <sheetFormatPr defaultColWidth="8.7109375" defaultRowHeight="10.199999999999999" x14ac:dyDescent="0.2"/>
  <cols>
    <col min="1" max="1" width="41.28515625" customWidth="1"/>
    <col min="2" max="2" width="18.7109375" customWidth="1"/>
    <col min="3" max="3" width="12.28515625" customWidth="1"/>
    <col min="4" max="4" width="14" customWidth="1"/>
  </cols>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35" t="s">
        <v>295</v>
      </c>
      <c r="B6" s="136" t="s">
        <v>325</v>
      </c>
      <c r="C6" s="135"/>
      <c r="D6" s="135"/>
      <c r="E6" s="10"/>
      <c r="F6" s="10"/>
      <c r="G6" s="10"/>
      <c r="H6" s="10"/>
      <c r="I6" s="10"/>
      <c r="J6" s="10"/>
      <c r="K6" s="10"/>
      <c r="L6" s="10"/>
      <c r="M6" s="10"/>
    </row>
    <row r="7" spans="1:13" s="11" customFormat="1" x14ac:dyDescent="0.2">
      <c r="A7" t="s">
        <v>299</v>
      </c>
      <c r="B7" s="137">
        <v>1.8</v>
      </c>
      <c r="C7" t="s">
        <v>106</v>
      </c>
      <c r="D7"/>
    </row>
    <row r="8" spans="1:13" s="11" customFormat="1" ht="11.4" x14ac:dyDescent="0.2">
      <c r="A8" t="s">
        <v>245</v>
      </c>
      <c r="B8" s="137">
        <v>20</v>
      </c>
      <c r="C8" t="s">
        <v>296</v>
      </c>
      <c r="D8"/>
    </row>
    <row r="9" spans="1:13" x14ac:dyDescent="0.2">
      <c r="A9" t="s">
        <v>246</v>
      </c>
      <c r="B9" s="137">
        <v>30</v>
      </c>
      <c r="C9" t="s">
        <v>247</v>
      </c>
    </row>
    <row r="10" spans="1:13" x14ac:dyDescent="0.2">
      <c r="A10" t="s">
        <v>248</v>
      </c>
      <c r="B10" s="137">
        <v>1.8</v>
      </c>
      <c r="C10" t="s">
        <v>106</v>
      </c>
    </row>
    <row r="11" spans="1:13" x14ac:dyDescent="0.2">
      <c r="A11" t="s">
        <v>249</v>
      </c>
      <c r="B11" s="138">
        <f>(1-SIN(RADIANS(B9)))/(1+SIN(RADIANS(B9)))</f>
        <v>0.33333333333333331</v>
      </c>
    </row>
    <row r="12" spans="1:13" ht="14.4" x14ac:dyDescent="0.3">
      <c r="A12" s="113" t="s">
        <v>250</v>
      </c>
      <c r="B12" s="138"/>
    </row>
    <row r="13" spans="1:13" x14ac:dyDescent="0.2">
      <c r="A13" s="111"/>
      <c r="B13" s="138">
        <f>0.5*B11*B8*B10^2</f>
        <v>10.799999999999999</v>
      </c>
      <c r="C13" t="s">
        <v>301</v>
      </c>
      <c r="E13" t="s">
        <v>276</v>
      </c>
    </row>
    <row r="14" spans="1:13" ht="13.8" x14ac:dyDescent="0.3">
      <c r="A14" s="139" t="s">
        <v>251</v>
      </c>
      <c r="B14" s="138"/>
      <c r="C14" s="114" t="s">
        <v>252</v>
      </c>
      <c r="D14" s="111"/>
    </row>
    <row r="15" spans="1:13" x14ac:dyDescent="0.2">
      <c r="A15" s="115" t="str">
        <f>B6</f>
        <v>MCR 1.2m Liner Depth, 1.2m Diameter TS5088D</v>
      </c>
      <c r="B15" s="138"/>
      <c r="C15" s="111"/>
      <c r="D15" s="111"/>
    </row>
    <row r="16" spans="1:13" ht="10.199999999999999" customHeight="1" x14ac:dyDescent="0.2">
      <c r="A16" t="s">
        <v>297</v>
      </c>
      <c r="B16" s="137">
        <v>0</v>
      </c>
      <c r="C16" t="s">
        <v>106</v>
      </c>
      <c r="D16" s="242" t="s">
        <v>253</v>
      </c>
    </row>
    <row r="17" spans="1:6" x14ac:dyDescent="0.2">
      <c r="A17" t="s">
        <v>298</v>
      </c>
      <c r="B17" s="137">
        <v>0</v>
      </c>
      <c r="C17" t="s">
        <v>106</v>
      </c>
      <c r="D17" s="242"/>
    </row>
    <row r="18" spans="1:6" x14ac:dyDescent="0.2">
      <c r="A18" t="s">
        <v>254</v>
      </c>
      <c r="B18" s="137">
        <v>0</v>
      </c>
      <c r="C18" t="s">
        <v>255</v>
      </c>
      <c r="D18" s="242"/>
      <c r="E18" s="97" t="s">
        <v>300</v>
      </c>
    </row>
    <row r="19" spans="1:6" x14ac:dyDescent="0.2">
      <c r="A19" t="s">
        <v>256</v>
      </c>
      <c r="B19" s="140">
        <v>0</v>
      </c>
      <c r="C19" t="s">
        <v>106</v>
      </c>
      <c r="D19" s="111"/>
    </row>
    <row r="20" spans="1:6" x14ac:dyDescent="0.2">
      <c r="A20" t="s">
        <v>259</v>
      </c>
      <c r="B20" s="138">
        <f>B11*B18*B19</f>
        <v>0</v>
      </c>
      <c r="C20" t="s">
        <v>301</v>
      </c>
      <c r="D20" s="111"/>
    </row>
    <row r="21" spans="1:6" x14ac:dyDescent="0.2">
      <c r="B21" s="111"/>
      <c r="D21" s="111"/>
    </row>
    <row r="22" spans="1:6" ht="12" x14ac:dyDescent="0.2">
      <c r="A22" s="139" t="s">
        <v>257</v>
      </c>
      <c r="B22" s="111"/>
      <c r="D22" s="111"/>
    </row>
    <row r="23" spans="1:6" x14ac:dyDescent="0.2">
      <c r="A23" t="s">
        <v>258</v>
      </c>
      <c r="B23" s="137">
        <v>20</v>
      </c>
      <c r="C23" t="s">
        <v>255</v>
      </c>
      <c r="D23" s="111"/>
    </row>
    <row r="24" spans="1:6" x14ac:dyDescent="0.2">
      <c r="A24" t="s">
        <v>259</v>
      </c>
      <c r="B24" s="138">
        <f>B11*B23*B10</f>
        <v>12</v>
      </c>
      <c r="C24" t="s">
        <v>301</v>
      </c>
      <c r="D24" s="111"/>
    </row>
    <row r="25" spans="1:6" x14ac:dyDescent="0.2">
      <c r="B25" s="111"/>
      <c r="D25" s="111"/>
    </row>
    <row r="26" spans="1:6" ht="12" x14ac:dyDescent="0.2">
      <c r="A26" s="139" t="s">
        <v>260</v>
      </c>
      <c r="B26" s="111"/>
      <c r="D26" s="111"/>
    </row>
    <row r="27" spans="1:6" ht="11.4" x14ac:dyDescent="0.2">
      <c r="A27" t="s">
        <v>261</v>
      </c>
      <c r="B27" s="116">
        <v>10</v>
      </c>
      <c r="C27" t="s">
        <v>296</v>
      </c>
      <c r="D27" s="111"/>
    </row>
    <row r="28" spans="1:6" x14ac:dyDescent="0.2">
      <c r="A28" t="s">
        <v>248</v>
      </c>
      <c r="B28" s="117">
        <f>B10</f>
        <v>1.8</v>
      </c>
      <c r="C28" t="s">
        <v>106</v>
      </c>
      <c r="D28" s="111"/>
    </row>
    <row r="29" spans="1:6" x14ac:dyDescent="0.2">
      <c r="A29" t="s">
        <v>262</v>
      </c>
      <c r="B29" s="111">
        <f>0.5*B27*B28^2*B11</f>
        <v>5.4</v>
      </c>
      <c r="C29" t="s">
        <v>301</v>
      </c>
      <c r="D29" s="111"/>
    </row>
    <row r="31" spans="1:6" ht="30.6" x14ac:dyDescent="0.2">
      <c r="A31" s="112" t="s">
        <v>263</v>
      </c>
      <c r="B31" s="112" t="s">
        <v>301</v>
      </c>
      <c r="C31" s="112" t="s">
        <v>264</v>
      </c>
      <c r="D31" s="118" t="s">
        <v>265</v>
      </c>
      <c r="E31" s="119" t="s">
        <v>302</v>
      </c>
      <c r="F31" s="119" t="s">
        <v>303</v>
      </c>
    </row>
    <row r="32" spans="1:6" x14ac:dyDescent="0.2">
      <c r="A32" s="112" t="s">
        <v>266</v>
      </c>
      <c r="B32" s="112">
        <f>B13</f>
        <v>10.799999999999999</v>
      </c>
      <c r="C32" s="112">
        <f>(1/3)*B10</f>
        <v>0.6</v>
      </c>
      <c r="D32" s="116">
        <v>1.5</v>
      </c>
      <c r="E32" s="112">
        <f>B32*C32*D32</f>
        <v>9.7199999999999989</v>
      </c>
      <c r="F32" s="112">
        <f>B32*D32</f>
        <v>16.2</v>
      </c>
    </row>
    <row r="33" spans="1:11" x14ac:dyDescent="0.2">
      <c r="A33" s="112" t="s">
        <v>267</v>
      </c>
      <c r="B33" s="112">
        <f>B20</f>
        <v>0</v>
      </c>
      <c r="C33" s="112">
        <f>0.5*B19</f>
        <v>0</v>
      </c>
      <c r="D33" s="116">
        <v>1.5</v>
      </c>
      <c r="E33" s="112">
        <f t="shared" ref="E33:E35" si="0">B33*C33*D33</f>
        <v>0</v>
      </c>
      <c r="F33" s="112">
        <f t="shared" ref="F33:F35" si="1">B33*D33</f>
        <v>0</v>
      </c>
    </row>
    <row r="34" spans="1:11" x14ac:dyDescent="0.2">
      <c r="A34" s="112" t="s">
        <v>268</v>
      </c>
      <c r="B34" s="112">
        <f>B29</f>
        <v>5.4</v>
      </c>
      <c r="C34" s="112">
        <f>(1/3)*B28</f>
        <v>0.6</v>
      </c>
      <c r="D34" s="116">
        <v>1</v>
      </c>
      <c r="E34" s="112">
        <f t="shared" si="0"/>
        <v>3.24</v>
      </c>
      <c r="F34" s="112">
        <f t="shared" si="1"/>
        <v>5.4</v>
      </c>
    </row>
    <row r="35" spans="1:11" x14ac:dyDescent="0.2">
      <c r="A35" s="112" t="s">
        <v>269</v>
      </c>
      <c r="B35" s="112">
        <f>B24</f>
        <v>12</v>
      </c>
      <c r="C35" s="112">
        <f>0.5*B10</f>
        <v>0.9</v>
      </c>
      <c r="D35" s="116">
        <v>1.5</v>
      </c>
      <c r="E35" s="112">
        <f t="shared" si="0"/>
        <v>16.200000000000003</v>
      </c>
      <c r="F35" s="112">
        <f t="shared" si="1"/>
        <v>18</v>
      </c>
    </row>
    <row r="36" spans="1:11" x14ac:dyDescent="0.2">
      <c r="A36" s="112" t="s">
        <v>270</v>
      </c>
      <c r="B36" s="112">
        <f>SUM(B32:B35)</f>
        <v>28.2</v>
      </c>
      <c r="C36" s="112"/>
      <c r="D36" s="112"/>
      <c r="E36" s="112">
        <f>SUM(E32:E35)</f>
        <v>29.160000000000004</v>
      </c>
      <c r="F36" s="112">
        <f>SUM(F32:F35)</f>
        <v>39.6</v>
      </c>
    </row>
    <row r="37" spans="1:11" x14ac:dyDescent="0.2">
      <c r="A37" s="111"/>
      <c r="B37" s="111"/>
      <c r="C37" s="111"/>
      <c r="D37" s="111"/>
      <c r="E37" s="112"/>
      <c r="F37" s="112"/>
    </row>
    <row r="38" spans="1:11" x14ac:dyDescent="0.2">
      <c r="A38" t="s">
        <v>308</v>
      </c>
      <c r="B38" s="157">
        <f>F36</f>
        <v>39.6</v>
      </c>
      <c r="C38" t="s">
        <v>307</v>
      </c>
      <c r="D38" s="111"/>
      <c r="E38" s="111"/>
      <c r="F38" s="111"/>
      <c r="G38" s="111"/>
      <c r="H38" s="111"/>
      <c r="I38" s="111"/>
      <c r="J38" s="111"/>
      <c r="K38" s="111"/>
    </row>
    <row r="39" spans="1:11" ht="13.8" x14ac:dyDescent="0.3">
      <c r="A39" t="s">
        <v>327</v>
      </c>
      <c r="B39">
        <v>1.8</v>
      </c>
      <c r="C39" t="s">
        <v>106</v>
      </c>
      <c r="D39" s="141"/>
      <c r="E39" s="142"/>
      <c r="F39" s="111"/>
      <c r="G39" s="121"/>
      <c r="H39" s="153"/>
      <c r="I39" s="154"/>
      <c r="J39" s="105"/>
      <c r="K39" s="105"/>
    </row>
    <row r="40" spans="1:11" ht="13.8" x14ac:dyDescent="0.3">
      <c r="A40" t="s">
        <v>306</v>
      </c>
      <c r="B40">
        <v>93</v>
      </c>
      <c r="C40" t="s">
        <v>307</v>
      </c>
      <c r="D40" s="160" t="s">
        <v>311</v>
      </c>
      <c r="E40" s="142"/>
      <c r="F40" s="111"/>
      <c r="G40" s="105"/>
      <c r="H40" s="155"/>
      <c r="I40" s="104"/>
      <c r="J40" s="105"/>
      <c r="K40" s="105"/>
    </row>
    <row r="41" spans="1:11" ht="13.8" x14ac:dyDescent="0.3">
      <c r="A41" t="s">
        <v>310</v>
      </c>
      <c r="B41" s="134">
        <f>B38/B40</f>
        <v>0.42580645161290326</v>
      </c>
      <c r="C41" s="142"/>
      <c r="D41" s="158" t="str">
        <f>IF(B41&lt;1,"OK","CHANGE")</f>
        <v>OK</v>
      </c>
      <c r="E41" s="143"/>
      <c r="F41" s="104"/>
      <c r="G41" s="105"/>
      <c r="H41" s="155"/>
      <c r="I41" s="104"/>
      <c r="J41" s="105"/>
      <c r="K41" s="105"/>
    </row>
    <row r="42" spans="1:11" ht="13.8" x14ac:dyDescent="0.3">
      <c r="A42" s="104"/>
      <c r="B42" s="123"/>
      <c r="C42" s="104"/>
      <c r="D42" s="104"/>
      <c r="E42" s="104"/>
      <c r="F42" s="104"/>
      <c r="G42" s="124"/>
      <c r="H42" s="156"/>
      <c r="I42" s="104"/>
      <c r="J42" s="105"/>
      <c r="K42" s="105"/>
    </row>
    <row r="43" spans="1:11" ht="13.8" x14ac:dyDescent="0.3">
      <c r="A43" s="104"/>
      <c r="B43" s="104"/>
      <c r="C43" s="104"/>
      <c r="D43" s="104"/>
      <c r="E43" s="104"/>
      <c r="F43" s="105"/>
      <c r="G43" s="124"/>
      <c r="H43" s="155"/>
      <c r="I43" s="105"/>
      <c r="J43" s="105"/>
      <c r="K43" s="105"/>
    </row>
    <row r="44" spans="1:11" ht="13.8" x14ac:dyDescent="0.3">
      <c r="A44" s="104"/>
      <c r="B44" s="104"/>
      <c r="C44" s="104"/>
      <c r="D44" s="104"/>
      <c r="E44" s="105"/>
      <c r="F44" s="105"/>
      <c r="G44" s="104"/>
      <c r="H44" s="155"/>
      <c r="I44" s="105"/>
      <c r="J44" s="105"/>
      <c r="K44" s="105"/>
    </row>
    <row r="45" spans="1:11" ht="13.8" x14ac:dyDescent="0.3">
      <c r="A45" s="104"/>
      <c r="B45" s="104"/>
      <c r="C45" s="104"/>
      <c r="D45" s="104"/>
      <c r="E45" s="105"/>
      <c r="F45" s="105"/>
      <c r="G45" s="105"/>
      <c r="H45" s="155"/>
      <c r="I45" s="105"/>
      <c r="J45" s="105"/>
      <c r="K45" s="105"/>
    </row>
    <row r="46" spans="1:11" ht="13.8" x14ac:dyDescent="0.3">
      <c r="A46" s="104"/>
      <c r="B46" s="104"/>
      <c r="C46" s="104"/>
      <c r="D46" s="104"/>
      <c r="E46" s="105"/>
      <c r="F46" s="105"/>
      <c r="G46" s="110"/>
      <c r="H46" s="155"/>
      <c r="I46" s="105"/>
      <c r="J46" s="105"/>
      <c r="K46" s="105"/>
    </row>
    <row r="47" spans="1:11" ht="13.8" x14ac:dyDescent="0.3">
      <c r="A47" s="104"/>
      <c r="B47" s="125"/>
      <c r="C47" s="104"/>
      <c r="D47" s="111"/>
      <c r="E47" s="105"/>
      <c r="F47" s="105"/>
      <c r="G47" s="105"/>
      <c r="H47" s="126"/>
      <c r="I47" s="105"/>
      <c r="J47" s="105"/>
      <c r="K47" s="105"/>
    </row>
    <row r="48" spans="1:11" ht="13.8" x14ac:dyDescent="0.3">
      <c r="A48" s="111"/>
      <c r="B48" s="111"/>
      <c r="C48" s="111"/>
      <c r="D48" s="111"/>
      <c r="E48" s="105"/>
      <c r="F48" s="105"/>
      <c r="G48" s="105"/>
      <c r="H48" s="126"/>
      <c r="I48" s="105"/>
      <c r="J48" s="105"/>
      <c r="K48" s="105"/>
    </row>
    <row r="49" spans="1:11" ht="13.8" x14ac:dyDescent="0.3">
      <c r="A49" s="105"/>
      <c r="B49" s="104"/>
      <c r="C49" s="104"/>
      <c r="D49" s="104"/>
      <c r="E49" s="105"/>
      <c r="F49" s="105"/>
      <c r="G49" s="127"/>
      <c r="H49" s="126"/>
      <c r="I49" s="105"/>
      <c r="J49" s="105"/>
      <c r="K49" s="105"/>
    </row>
    <row r="50" spans="1:11" ht="13.8" x14ac:dyDescent="0.3">
      <c r="A50" s="105"/>
      <c r="B50" s="144"/>
      <c r="C50" s="104"/>
      <c r="D50" s="142"/>
      <c r="E50" s="105"/>
      <c r="F50" s="105"/>
      <c r="G50" s="105"/>
      <c r="H50" s="105"/>
      <c r="I50" s="105"/>
      <c r="J50" s="105"/>
      <c r="K50" s="105"/>
    </row>
    <row r="51" spans="1:11" ht="13.8" x14ac:dyDescent="0.3">
      <c r="A51" s="142"/>
      <c r="B51" s="145"/>
      <c r="C51" s="142"/>
      <c r="D51" s="142"/>
      <c r="E51" s="105"/>
      <c r="F51" s="105"/>
      <c r="G51" s="105"/>
      <c r="H51" s="105"/>
      <c r="I51" s="105"/>
      <c r="J51" s="105"/>
      <c r="K51" s="105"/>
    </row>
    <row r="52" spans="1:11" ht="13.8" x14ac:dyDescent="0.3">
      <c r="A52" s="146"/>
      <c r="B52" s="126"/>
      <c r="C52" s="142"/>
      <c r="D52" s="142"/>
      <c r="E52" s="105"/>
      <c r="F52" s="105"/>
      <c r="G52" s="105"/>
      <c r="H52" s="105"/>
      <c r="I52" s="105"/>
      <c r="J52" s="105"/>
      <c r="K52" s="105"/>
    </row>
    <row r="53" spans="1:11" ht="13.8" x14ac:dyDescent="0.3">
      <c r="A53" s="105"/>
      <c r="B53" s="105"/>
      <c r="C53" s="105"/>
      <c r="D53" s="105"/>
      <c r="E53" s="105"/>
      <c r="F53" s="105"/>
      <c r="G53" s="105"/>
      <c r="H53" s="105"/>
      <c r="I53" s="105"/>
      <c r="J53" s="105"/>
      <c r="K53" s="105"/>
    </row>
    <row r="54" spans="1:11" ht="13.8" x14ac:dyDescent="0.3">
      <c r="A54" s="147"/>
      <c r="B54" s="105"/>
      <c r="C54" s="105"/>
      <c r="D54" s="105"/>
      <c r="E54" s="105"/>
      <c r="F54" s="105"/>
      <c r="G54" s="105"/>
      <c r="H54" s="105"/>
      <c r="I54" s="105"/>
      <c r="J54" s="105"/>
      <c r="K54" s="105"/>
    </row>
    <row r="55" spans="1:11" ht="13.8" x14ac:dyDescent="0.3">
      <c r="A55" s="142"/>
      <c r="B55" s="142"/>
      <c r="C55" s="142"/>
      <c r="D55" s="142"/>
      <c r="E55" s="142"/>
      <c r="F55" s="111"/>
      <c r="G55" s="105"/>
      <c r="H55" s="105"/>
      <c r="I55" s="105"/>
      <c r="J55" s="105"/>
      <c r="K55" s="105"/>
    </row>
    <row r="56" spans="1:11" ht="13.8" x14ac:dyDescent="0.3">
      <c r="A56" s="148"/>
      <c r="B56" s="149"/>
      <c r="C56" s="142"/>
      <c r="D56" s="142"/>
      <c r="E56" s="142"/>
      <c r="F56" s="111"/>
      <c r="G56" s="105"/>
      <c r="H56" s="105"/>
      <c r="I56" s="105"/>
      <c r="J56" s="105"/>
      <c r="K56" s="105"/>
    </row>
    <row r="57" spans="1:11" ht="13.8" x14ac:dyDescent="0.3">
      <c r="A57" s="148"/>
      <c r="B57" s="149"/>
      <c r="C57" s="142"/>
      <c r="D57" s="142"/>
      <c r="E57" s="142"/>
      <c r="F57" s="111"/>
      <c r="G57" s="105"/>
      <c r="H57" s="105"/>
      <c r="I57" s="105"/>
      <c r="J57" s="105"/>
      <c r="K57" s="105"/>
    </row>
    <row r="58" spans="1:11" ht="13.8" x14ac:dyDescent="0.3">
      <c r="A58" s="142"/>
      <c r="B58" s="142"/>
      <c r="C58" s="142"/>
      <c r="D58" s="142"/>
      <c r="E58" s="142"/>
      <c r="F58" s="111"/>
      <c r="G58" s="105"/>
      <c r="H58" s="105"/>
      <c r="I58" s="105"/>
      <c r="J58" s="105"/>
      <c r="K58" s="105"/>
    </row>
    <row r="59" spans="1:11" ht="13.8" x14ac:dyDescent="0.3">
      <c r="A59" s="142"/>
      <c r="B59" s="142"/>
      <c r="C59" s="142"/>
      <c r="D59" s="142"/>
      <c r="E59" s="142"/>
      <c r="F59" s="111"/>
      <c r="G59" s="105"/>
      <c r="H59" s="105"/>
      <c r="I59" s="105"/>
      <c r="J59" s="105"/>
      <c r="K59" s="105"/>
    </row>
    <row r="60" spans="1:11" ht="13.8" x14ac:dyDescent="0.3">
      <c r="A60" s="142"/>
      <c r="B60" s="149"/>
      <c r="C60" s="142"/>
      <c r="D60" s="142"/>
      <c r="E60" s="142"/>
      <c r="F60" s="111"/>
      <c r="G60" s="105"/>
      <c r="H60" s="105"/>
      <c r="I60" s="105"/>
      <c r="J60" s="105"/>
      <c r="K60" s="105"/>
    </row>
    <row r="61" spans="1:11" x14ac:dyDescent="0.2">
      <c r="A61" s="142"/>
      <c r="B61" s="150"/>
      <c r="C61" s="142"/>
      <c r="D61" s="142"/>
      <c r="E61" s="142"/>
      <c r="F61" s="111"/>
      <c r="G61" s="111"/>
      <c r="H61" s="111"/>
      <c r="I61" s="111"/>
      <c r="J61" s="111"/>
      <c r="K61" s="111"/>
    </row>
    <row r="62" spans="1:11" ht="13.8" x14ac:dyDescent="0.3">
      <c r="A62" s="142"/>
      <c r="B62" s="142"/>
      <c r="C62" s="142"/>
      <c r="D62" s="142"/>
      <c r="E62" s="142"/>
      <c r="F62" s="111"/>
      <c r="G62" s="111"/>
      <c r="H62" s="105"/>
      <c r="I62" s="105"/>
      <c r="J62" s="105"/>
      <c r="K62" s="105"/>
    </row>
    <row r="63" spans="1:11" x14ac:dyDescent="0.2">
      <c r="A63" s="142"/>
      <c r="B63" s="149"/>
      <c r="C63" s="142"/>
      <c r="D63" s="142"/>
      <c r="E63" s="142"/>
      <c r="F63" s="111"/>
      <c r="G63" s="111"/>
      <c r="H63" s="111"/>
      <c r="I63" s="111"/>
      <c r="J63" s="111"/>
      <c r="K63" s="111"/>
    </row>
    <row r="64" spans="1:11" x14ac:dyDescent="0.2">
      <c r="A64" s="142"/>
      <c r="B64" s="142"/>
      <c r="C64" s="142"/>
      <c r="D64" s="142"/>
      <c r="E64" s="142"/>
      <c r="F64" s="111"/>
      <c r="G64" s="111"/>
      <c r="H64" s="111"/>
      <c r="I64" s="111"/>
      <c r="J64" s="111"/>
      <c r="K64" s="111"/>
    </row>
    <row r="65" spans="1:11" x14ac:dyDescent="0.2">
      <c r="A65" s="142"/>
      <c r="B65" s="142"/>
      <c r="C65" s="142"/>
      <c r="D65" s="142"/>
      <c r="E65" s="142"/>
      <c r="F65" s="111"/>
      <c r="G65" s="111"/>
      <c r="H65" s="111"/>
      <c r="I65" s="111"/>
      <c r="J65" s="111"/>
      <c r="K65" s="111"/>
    </row>
    <row r="66" spans="1:11" ht="14.4" x14ac:dyDescent="0.3">
      <c r="A66" s="151"/>
      <c r="B66" s="152"/>
      <c r="C66" s="151"/>
      <c r="D66" s="151"/>
      <c r="E66" s="151"/>
      <c r="F66" s="132"/>
      <c r="G66" s="111"/>
      <c r="H66" s="111"/>
      <c r="I66" s="111"/>
      <c r="J66" s="111"/>
      <c r="K66" s="111"/>
    </row>
  </sheetData>
  <mergeCells count="1">
    <mergeCell ref="D16:D18"/>
  </mergeCells>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 r:id="rId3"/>
  <legacyDrawingHF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91680B-3863-4D8F-A6D6-50425A70E6C4}">
  <sheetPr codeName="Sheet8">
    <tabColor rgb="FF353D30"/>
  </sheetPr>
  <dimension ref="A1:M66"/>
  <sheetViews>
    <sheetView view="pageBreakPreview" zoomScaleNormal="100" zoomScaleSheetLayoutView="100" workbookViewId="0"/>
  </sheetViews>
  <sheetFormatPr defaultColWidth="8.7109375" defaultRowHeight="10.199999999999999" x14ac:dyDescent="0.2"/>
  <cols>
    <col min="1" max="1" width="41.28515625" customWidth="1"/>
    <col min="2" max="2" width="18.7109375" customWidth="1"/>
    <col min="3" max="3" width="12.28515625" customWidth="1"/>
    <col min="4" max="4" width="14" customWidth="1"/>
  </cols>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35" t="s">
        <v>295</v>
      </c>
      <c r="B6" s="136" t="s">
        <v>323</v>
      </c>
      <c r="C6" s="135"/>
      <c r="D6" s="135"/>
      <c r="E6" s="10"/>
      <c r="F6" s="10"/>
      <c r="G6" s="10"/>
      <c r="H6" s="10"/>
      <c r="I6" s="10"/>
      <c r="J6" s="10"/>
      <c r="K6" s="10"/>
      <c r="L6" s="10"/>
      <c r="M6" s="10"/>
    </row>
    <row r="7" spans="1:13" s="11" customFormat="1" x14ac:dyDescent="0.2">
      <c r="A7" t="s">
        <v>299</v>
      </c>
      <c r="B7" s="137">
        <v>1.8</v>
      </c>
      <c r="C7" t="s">
        <v>106</v>
      </c>
      <c r="D7"/>
    </row>
    <row r="8" spans="1:13" s="11" customFormat="1" ht="11.4" x14ac:dyDescent="0.2">
      <c r="A8" t="s">
        <v>245</v>
      </c>
      <c r="B8" s="137">
        <v>20</v>
      </c>
      <c r="C8" t="s">
        <v>296</v>
      </c>
      <c r="D8"/>
    </row>
    <row r="9" spans="1:13" x14ac:dyDescent="0.2">
      <c r="A9" t="s">
        <v>246</v>
      </c>
      <c r="B9" s="137">
        <v>30</v>
      </c>
      <c r="C9" t="s">
        <v>247</v>
      </c>
    </row>
    <row r="10" spans="1:13" x14ac:dyDescent="0.2">
      <c r="A10" t="s">
        <v>248</v>
      </c>
      <c r="B10" s="137">
        <f>B7+0.3+0.3</f>
        <v>2.4</v>
      </c>
      <c r="C10" t="s">
        <v>106</v>
      </c>
    </row>
    <row r="11" spans="1:13" x14ac:dyDescent="0.2">
      <c r="A11" t="s">
        <v>249</v>
      </c>
      <c r="B11" s="138">
        <f>(1-SIN(RADIANS(B9)))/(1+SIN(RADIANS(B9)))</f>
        <v>0.33333333333333331</v>
      </c>
    </row>
    <row r="12" spans="1:13" ht="14.4" x14ac:dyDescent="0.3">
      <c r="A12" s="113" t="s">
        <v>250</v>
      </c>
      <c r="B12" s="138"/>
    </row>
    <row r="13" spans="1:13" x14ac:dyDescent="0.2">
      <c r="A13" s="111"/>
      <c r="B13" s="138">
        <f>0.5*B11*B8*B10^2</f>
        <v>19.2</v>
      </c>
      <c r="C13" t="s">
        <v>301</v>
      </c>
      <c r="E13" t="s">
        <v>276</v>
      </c>
    </row>
    <row r="14" spans="1:13" ht="13.8" x14ac:dyDescent="0.3">
      <c r="A14" s="139" t="s">
        <v>251</v>
      </c>
      <c r="B14" s="138"/>
      <c r="C14" s="114" t="s">
        <v>252</v>
      </c>
      <c r="D14" s="111"/>
    </row>
    <row r="15" spans="1:13" x14ac:dyDescent="0.2">
      <c r="A15" s="115" t="str">
        <f>B6</f>
        <v>MCR 1.8m Liner Depth, 1.2m Diameter TS9070U</v>
      </c>
      <c r="B15" s="138"/>
      <c r="C15" s="111"/>
      <c r="D15" s="111"/>
    </row>
    <row r="16" spans="1:13" ht="10.199999999999999" customHeight="1" x14ac:dyDescent="0.2">
      <c r="A16" t="s">
        <v>297</v>
      </c>
      <c r="B16" s="137">
        <v>1.9</v>
      </c>
      <c r="C16" t="s">
        <v>106</v>
      </c>
      <c r="D16" s="242" t="s">
        <v>253</v>
      </c>
    </row>
    <row r="17" spans="1:6" x14ac:dyDescent="0.2">
      <c r="A17" t="s">
        <v>298</v>
      </c>
      <c r="B17" s="137">
        <v>0.83</v>
      </c>
      <c r="C17" t="s">
        <v>106</v>
      </c>
      <c r="D17" s="242"/>
    </row>
    <row r="18" spans="1:6" x14ac:dyDescent="0.2">
      <c r="A18" t="s">
        <v>254</v>
      </c>
      <c r="B18" s="137">
        <v>29</v>
      </c>
      <c r="C18" t="s">
        <v>255</v>
      </c>
      <c r="D18" s="242"/>
      <c r="E18" s="97" t="s">
        <v>300</v>
      </c>
    </row>
    <row r="19" spans="1:6" x14ac:dyDescent="0.2">
      <c r="A19" t="s">
        <v>256</v>
      </c>
      <c r="B19" s="140">
        <v>0.75</v>
      </c>
      <c r="C19" t="s">
        <v>106</v>
      </c>
      <c r="D19" s="111"/>
    </row>
    <row r="20" spans="1:6" x14ac:dyDescent="0.2">
      <c r="A20" t="s">
        <v>259</v>
      </c>
      <c r="B20" s="138">
        <f>B11*B18*B19</f>
        <v>7.25</v>
      </c>
      <c r="C20" t="s">
        <v>301</v>
      </c>
      <c r="D20" s="111"/>
    </row>
    <row r="21" spans="1:6" x14ac:dyDescent="0.2">
      <c r="B21" s="111"/>
      <c r="D21" s="111"/>
    </row>
    <row r="22" spans="1:6" ht="12" x14ac:dyDescent="0.2">
      <c r="A22" s="139" t="s">
        <v>257</v>
      </c>
      <c r="B22" s="111"/>
      <c r="D22" s="111"/>
    </row>
    <row r="23" spans="1:6" x14ac:dyDescent="0.2">
      <c r="A23" t="s">
        <v>258</v>
      </c>
      <c r="B23" s="137">
        <v>0</v>
      </c>
      <c r="C23" t="s">
        <v>255</v>
      </c>
      <c r="D23" s="111"/>
    </row>
    <row r="24" spans="1:6" x14ac:dyDescent="0.2">
      <c r="A24" t="s">
        <v>259</v>
      </c>
      <c r="B24" s="138">
        <f>B11*B23*B10</f>
        <v>0</v>
      </c>
      <c r="C24" t="s">
        <v>301</v>
      </c>
      <c r="D24" s="111"/>
    </row>
    <row r="25" spans="1:6" x14ac:dyDescent="0.2">
      <c r="B25" s="111"/>
      <c r="D25" s="111"/>
    </row>
    <row r="26" spans="1:6" ht="12" x14ac:dyDescent="0.2">
      <c r="A26" s="139" t="s">
        <v>260</v>
      </c>
      <c r="B26" s="111"/>
      <c r="D26" s="111"/>
    </row>
    <row r="27" spans="1:6" ht="11.4" x14ac:dyDescent="0.2">
      <c r="A27" t="s">
        <v>261</v>
      </c>
      <c r="B27" s="116">
        <v>10</v>
      </c>
      <c r="C27" t="s">
        <v>296</v>
      </c>
      <c r="D27" s="111"/>
    </row>
    <row r="28" spans="1:6" x14ac:dyDescent="0.2">
      <c r="A28" t="s">
        <v>248</v>
      </c>
      <c r="B28" s="117">
        <f>B10</f>
        <v>2.4</v>
      </c>
      <c r="C28" t="s">
        <v>106</v>
      </c>
      <c r="D28" s="111"/>
    </row>
    <row r="29" spans="1:6" x14ac:dyDescent="0.2">
      <c r="A29" t="s">
        <v>262</v>
      </c>
      <c r="B29" s="111">
        <f>0.5*B27*B28^2*B11</f>
        <v>9.5999999999999979</v>
      </c>
      <c r="C29" t="s">
        <v>301</v>
      </c>
      <c r="D29" s="111"/>
    </row>
    <row r="31" spans="1:6" ht="30.6" x14ac:dyDescent="0.2">
      <c r="A31" s="112" t="s">
        <v>263</v>
      </c>
      <c r="B31" s="112" t="s">
        <v>301</v>
      </c>
      <c r="C31" s="112" t="s">
        <v>264</v>
      </c>
      <c r="D31" s="118" t="s">
        <v>265</v>
      </c>
      <c r="E31" s="119" t="s">
        <v>302</v>
      </c>
      <c r="F31" s="119" t="s">
        <v>303</v>
      </c>
    </row>
    <row r="32" spans="1:6" x14ac:dyDescent="0.2">
      <c r="A32" s="112" t="s">
        <v>266</v>
      </c>
      <c r="B32" s="112">
        <f>B13</f>
        <v>19.2</v>
      </c>
      <c r="C32" s="112">
        <f>(1/3)*B10</f>
        <v>0.79999999999999993</v>
      </c>
      <c r="D32" s="116">
        <v>1.5</v>
      </c>
      <c r="E32" s="112">
        <f>B32*C32*D32</f>
        <v>23.039999999999996</v>
      </c>
      <c r="F32" s="112">
        <f>B32*D32</f>
        <v>28.799999999999997</v>
      </c>
    </row>
    <row r="33" spans="1:11" x14ac:dyDescent="0.2">
      <c r="A33" s="112" t="s">
        <v>267</v>
      </c>
      <c r="B33" s="112">
        <f>B20</f>
        <v>7.25</v>
      </c>
      <c r="C33" s="112">
        <f>0.5*B19</f>
        <v>0.375</v>
      </c>
      <c r="D33" s="116">
        <v>1.5</v>
      </c>
      <c r="E33" s="112">
        <f t="shared" ref="E33:E35" si="0">B33*C33*D33</f>
        <v>4.078125</v>
      </c>
      <c r="F33" s="112">
        <f t="shared" ref="F33:F35" si="1">B33*D33</f>
        <v>10.875</v>
      </c>
    </row>
    <row r="34" spans="1:11" x14ac:dyDescent="0.2">
      <c r="A34" s="112" t="s">
        <v>268</v>
      </c>
      <c r="B34" s="112">
        <f>B29</f>
        <v>9.5999999999999979</v>
      </c>
      <c r="C34" s="112">
        <f>(1/3)*B28</f>
        <v>0.79999999999999993</v>
      </c>
      <c r="D34" s="116">
        <v>1</v>
      </c>
      <c r="E34" s="112">
        <f t="shared" si="0"/>
        <v>7.6799999999999979</v>
      </c>
      <c r="F34" s="112">
        <f t="shared" si="1"/>
        <v>9.5999999999999979</v>
      </c>
    </row>
    <row r="35" spans="1:11" x14ac:dyDescent="0.2">
      <c r="A35" s="112" t="s">
        <v>269</v>
      </c>
      <c r="B35" s="112">
        <f>B24</f>
        <v>0</v>
      </c>
      <c r="C35" s="112">
        <f>0.5*B10</f>
        <v>1.2</v>
      </c>
      <c r="D35" s="116">
        <v>1.5</v>
      </c>
      <c r="E35" s="112">
        <f t="shared" si="0"/>
        <v>0</v>
      </c>
      <c r="F35" s="112">
        <f t="shared" si="1"/>
        <v>0</v>
      </c>
    </row>
    <row r="36" spans="1:11" x14ac:dyDescent="0.2">
      <c r="A36" s="112" t="s">
        <v>270</v>
      </c>
      <c r="B36" s="112">
        <f>SUM(B32:B35)</f>
        <v>36.049999999999997</v>
      </c>
      <c r="C36" s="112"/>
      <c r="D36" s="112"/>
      <c r="E36" s="112">
        <f>SUM(E32:E35)</f>
        <v>34.798124999999992</v>
      </c>
      <c r="F36" s="112">
        <f>SUM(F32:F35)</f>
        <v>49.274999999999991</v>
      </c>
    </row>
    <row r="37" spans="1:11" x14ac:dyDescent="0.2">
      <c r="A37" s="111"/>
      <c r="B37" s="111"/>
      <c r="C37" s="111"/>
      <c r="D37" s="111"/>
      <c r="E37" s="112"/>
      <c r="F37" s="112"/>
    </row>
    <row r="38" spans="1:11" x14ac:dyDescent="0.2">
      <c r="A38" t="s">
        <v>308</v>
      </c>
      <c r="B38" s="157">
        <f>F36</f>
        <v>49.274999999999991</v>
      </c>
      <c r="C38" s="111" t="s">
        <v>307</v>
      </c>
      <c r="D38" s="111"/>
      <c r="E38" s="111"/>
      <c r="F38" s="111"/>
      <c r="G38" s="111"/>
      <c r="H38" s="111"/>
      <c r="I38" s="111"/>
      <c r="J38" s="111"/>
      <c r="K38" s="111"/>
    </row>
    <row r="39" spans="1:11" ht="13.8" x14ac:dyDescent="0.3">
      <c r="A39" t="s">
        <v>309</v>
      </c>
      <c r="B39">
        <v>1.2</v>
      </c>
      <c r="C39" t="s">
        <v>106</v>
      </c>
      <c r="D39" s="141"/>
      <c r="E39" s="142"/>
      <c r="F39" s="111"/>
      <c r="G39" s="121"/>
      <c r="H39" s="153"/>
      <c r="I39" s="154"/>
      <c r="J39" s="105"/>
      <c r="K39" s="105"/>
    </row>
    <row r="40" spans="1:11" ht="13.8" x14ac:dyDescent="0.3">
      <c r="A40" t="s">
        <v>306</v>
      </c>
      <c r="B40">
        <f>138</f>
        <v>138</v>
      </c>
      <c r="C40" t="s">
        <v>307</v>
      </c>
      <c r="D40" s="160" t="s">
        <v>311</v>
      </c>
      <c r="E40" s="142"/>
      <c r="F40" s="111"/>
      <c r="G40" s="105"/>
      <c r="H40" s="155"/>
      <c r="I40" s="104"/>
      <c r="J40" s="105"/>
      <c r="K40" s="105"/>
    </row>
    <row r="41" spans="1:11" ht="13.8" x14ac:dyDescent="0.3">
      <c r="A41" t="s">
        <v>310</v>
      </c>
      <c r="B41" s="134">
        <f>B38/B40</f>
        <v>0.35706521739130431</v>
      </c>
      <c r="D41" s="158" t="str">
        <f>IF(B41&lt;1,"OK","CHANGE")</f>
        <v>OK</v>
      </c>
      <c r="E41" s="143"/>
      <c r="F41" s="104"/>
      <c r="G41" s="105"/>
      <c r="H41" s="155"/>
      <c r="I41" s="104"/>
      <c r="J41" s="105"/>
      <c r="K41" s="105"/>
    </row>
    <row r="42" spans="1:11" ht="13.8" x14ac:dyDescent="0.3">
      <c r="A42" s="104"/>
      <c r="B42" s="123"/>
      <c r="C42" s="104"/>
      <c r="D42" s="104"/>
      <c r="E42" s="104"/>
      <c r="F42" s="104"/>
      <c r="G42" s="124"/>
      <c r="H42" s="156"/>
      <c r="I42" s="104"/>
      <c r="J42" s="105"/>
      <c r="K42" s="105"/>
    </row>
    <row r="43" spans="1:11" ht="13.8" x14ac:dyDescent="0.3">
      <c r="A43" s="104"/>
      <c r="B43" s="104"/>
      <c r="C43" s="104"/>
      <c r="D43" s="104"/>
      <c r="E43" s="104"/>
      <c r="F43" s="105"/>
      <c r="G43" s="124"/>
      <c r="H43" s="155"/>
      <c r="I43" s="105"/>
      <c r="J43" s="105"/>
      <c r="K43" s="105"/>
    </row>
    <row r="44" spans="1:11" ht="13.8" x14ac:dyDescent="0.3">
      <c r="A44" s="104"/>
      <c r="B44" s="104"/>
      <c r="C44" s="104"/>
      <c r="D44" s="104"/>
      <c r="E44" s="105"/>
      <c r="F44" s="105"/>
      <c r="G44" s="104"/>
      <c r="H44" s="155"/>
      <c r="I44" s="105"/>
      <c r="J44" s="105"/>
      <c r="K44" s="105"/>
    </row>
    <row r="45" spans="1:11" ht="13.8" x14ac:dyDescent="0.3">
      <c r="A45" s="104"/>
      <c r="B45" s="104"/>
      <c r="C45" s="104"/>
      <c r="D45" s="104"/>
      <c r="E45" s="105"/>
      <c r="F45" s="105"/>
      <c r="G45" s="105"/>
      <c r="H45" s="155"/>
      <c r="I45" s="105"/>
      <c r="J45" s="105"/>
      <c r="K45" s="105"/>
    </row>
    <row r="46" spans="1:11" ht="13.8" x14ac:dyDescent="0.3">
      <c r="A46" s="104"/>
      <c r="B46" s="104"/>
      <c r="C46" s="104"/>
      <c r="D46" s="104"/>
      <c r="E46" s="105"/>
      <c r="F46" s="105"/>
      <c r="G46" s="110"/>
      <c r="H46" s="155"/>
      <c r="I46" s="105"/>
      <c r="J46" s="105"/>
      <c r="K46" s="105"/>
    </row>
    <row r="47" spans="1:11" ht="13.8" x14ac:dyDescent="0.3">
      <c r="A47" s="104"/>
      <c r="B47" s="125"/>
      <c r="C47" s="104"/>
      <c r="D47" s="111"/>
      <c r="E47" s="105"/>
      <c r="F47" s="105"/>
      <c r="G47" s="105"/>
      <c r="H47" s="126"/>
      <c r="I47" s="105"/>
      <c r="J47" s="105"/>
      <c r="K47" s="105"/>
    </row>
    <row r="48" spans="1:11" ht="13.8" x14ac:dyDescent="0.3">
      <c r="A48" s="111"/>
      <c r="B48" s="111"/>
      <c r="C48" s="111"/>
      <c r="D48" s="111"/>
      <c r="E48" s="105"/>
      <c r="F48" s="105"/>
      <c r="G48" s="105"/>
      <c r="H48" s="126"/>
      <c r="I48" s="105"/>
      <c r="J48" s="105"/>
      <c r="K48" s="105"/>
    </row>
    <row r="49" spans="1:11" ht="13.8" x14ac:dyDescent="0.3">
      <c r="A49" s="105"/>
      <c r="B49" s="104"/>
      <c r="C49" s="104"/>
      <c r="D49" s="104"/>
      <c r="E49" s="105"/>
      <c r="F49" s="105"/>
      <c r="G49" s="127"/>
      <c r="H49" s="126"/>
      <c r="I49" s="105"/>
      <c r="J49" s="105"/>
      <c r="K49" s="105"/>
    </row>
    <row r="50" spans="1:11" ht="13.8" x14ac:dyDescent="0.3">
      <c r="A50" s="105"/>
      <c r="B50" s="144"/>
      <c r="C50" s="104"/>
      <c r="D50" s="142"/>
      <c r="E50" s="105"/>
      <c r="F50" s="105"/>
      <c r="G50" s="105"/>
      <c r="H50" s="105"/>
      <c r="I50" s="105"/>
      <c r="J50" s="105"/>
      <c r="K50" s="105"/>
    </row>
    <row r="51" spans="1:11" ht="13.8" x14ac:dyDescent="0.3">
      <c r="A51" s="142"/>
      <c r="B51" s="145"/>
      <c r="C51" s="142"/>
      <c r="D51" s="142"/>
      <c r="E51" s="105"/>
      <c r="F51" s="105"/>
      <c r="G51" s="105"/>
      <c r="H51" s="105"/>
      <c r="I51" s="105"/>
      <c r="J51" s="105"/>
      <c r="K51" s="105"/>
    </row>
    <row r="52" spans="1:11" ht="13.8" x14ac:dyDescent="0.3">
      <c r="A52" s="146"/>
      <c r="B52" s="126"/>
      <c r="C52" s="142"/>
      <c r="D52" s="142"/>
      <c r="E52" s="105"/>
      <c r="F52" s="105"/>
      <c r="G52" s="105"/>
      <c r="H52" s="105"/>
      <c r="I52" s="105"/>
      <c r="J52" s="105"/>
      <c r="K52" s="105"/>
    </row>
    <row r="53" spans="1:11" ht="13.8" x14ac:dyDescent="0.3">
      <c r="A53" s="105"/>
      <c r="B53" s="105"/>
      <c r="C53" s="105"/>
      <c r="D53" s="105"/>
      <c r="E53" s="105"/>
      <c r="F53" s="105"/>
      <c r="G53" s="105"/>
      <c r="H53" s="105"/>
      <c r="I53" s="105"/>
      <c r="J53" s="105"/>
      <c r="K53" s="105"/>
    </row>
    <row r="54" spans="1:11" ht="13.8" x14ac:dyDescent="0.3">
      <c r="A54" s="147"/>
      <c r="B54" s="105"/>
      <c r="C54" s="105"/>
      <c r="D54" s="105"/>
      <c r="E54" s="105"/>
      <c r="F54" s="105"/>
      <c r="G54" s="105"/>
      <c r="H54" s="105"/>
      <c r="I54" s="105"/>
      <c r="J54" s="105"/>
      <c r="K54" s="105"/>
    </row>
    <row r="55" spans="1:11" ht="13.8" x14ac:dyDescent="0.3">
      <c r="A55" s="142"/>
      <c r="B55" s="142"/>
      <c r="C55" s="142"/>
      <c r="D55" s="142"/>
      <c r="E55" s="142"/>
      <c r="F55" s="111"/>
      <c r="G55" s="105"/>
      <c r="H55" s="105"/>
      <c r="I55" s="105"/>
      <c r="J55" s="105"/>
      <c r="K55" s="105"/>
    </row>
    <row r="56" spans="1:11" ht="13.8" x14ac:dyDescent="0.3">
      <c r="A56" s="148"/>
      <c r="B56" s="149"/>
      <c r="C56" s="142"/>
      <c r="D56" s="142"/>
      <c r="E56" s="142"/>
      <c r="F56" s="111"/>
      <c r="G56" s="105"/>
      <c r="H56" s="105"/>
      <c r="I56" s="105"/>
      <c r="J56" s="105"/>
      <c r="K56" s="105"/>
    </row>
    <row r="57" spans="1:11" ht="13.8" x14ac:dyDescent="0.3">
      <c r="A57" s="148"/>
      <c r="B57" s="149"/>
      <c r="C57" s="142"/>
      <c r="D57" s="142"/>
      <c r="E57" s="142"/>
      <c r="F57" s="111"/>
      <c r="G57" s="105"/>
      <c r="H57" s="105"/>
      <c r="I57" s="105"/>
      <c r="J57" s="105"/>
      <c r="K57" s="105"/>
    </row>
    <row r="58" spans="1:11" ht="13.8" x14ac:dyDescent="0.3">
      <c r="A58" s="142"/>
      <c r="B58" s="142"/>
      <c r="C58" s="142"/>
      <c r="D58" s="142"/>
      <c r="E58" s="142"/>
      <c r="F58" s="111"/>
      <c r="G58" s="105"/>
      <c r="H58" s="105"/>
      <c r="I58" s="105"/>
      <c r="J58" s="105"/>
      <c r="K58" s="105"/>
    </row>
    <row r="59" spans="1:11" ht="13.8" x14ac:dyDescent="0.3">
      <c r="A59" s="142"/>
      <c r="B59" s="142"/>
      <c r="C59" s="142"/>
      <c r="D59" s="142"/>
      <c r="E59" s="142"/>
      <c r="F59" s="111"/>
      <c r="G59" s="105"/>
      <c r="H59" s="105"/>
      <c r="I59" s="105"/>
      <c r="J59" s="105"/>
      <c r="K59" s="105"/>
    </row>
    <row r="60" spans="1:11" ht="13.8" x14ac:dyDescent="0.3">
      <c r="A60" s="142"/>
      <c r="B60" s="149"/>
      <c r="C60" s="142"/>
      <c r="D60" s="142"/>
      <c r="E60" s="142"/>
      <c r="F60" s="111"/>
      <c r="G60" s="105"/>
      <c r="H60" s="105"/>
      <c r="I60" s="105"/>
      <c r="J60" s="105"/>
      <c r="K60" s="105"/>
    </row>
    <row r="61" spans="1:11" x14ac:dyDescent="0.2">
      <c r="A61" s="142"/>
      <c r="B61" s="150"/>
      <c r="C61" s="142"/>
      <c r="D61" s="142"/>
      <c r="E61" s="142"/>
      <c r="F61" s="111"/>
      <c r="G61" s="111"/>
      <c r="H61" s="111"/>
      <c r="I61" s="111"/>
      <c r="J61" s="111"/>
      <c r="K61" s="111"/>
    </row>
    <row r="62" spans="1:11" ht="13.8" x14ac:dyDescent="0.3">
      <c r="A62" s="142"/>
      <c r="B62" s="142"/>
      <c r="C62" s="142"/>
      <c r="D62" s="142"/>
      <c r="E62" s="142"/>
      <c r="F62" s="111"/>
      <c r="G62" s="111"/>
      <c r="H62" s="105"/>
      <c r="I62" s="105"/>
      <c r="J62" s="105"/>
      <c r="K62" s="105"/>
    </row>
    <row r="63" spans="1:11" x14ac:dyDescent="0.2">
      <c r="A63" s="142"/>
      <c r="B63" s="149"/>
      <c r="C63" s="142"/>
      <c r="D63" s="142"/>
      <c r="E63" s="142"/>
      <c r="F63" s="111"/>
      <c r="G63" s="111"/>
      <c r="H63" s="111"/>
      <c r="I63" s="111"/>
      <c r="J63" s="111"/>
      <c r="K63" s="111"/>
    </row>
    <row r="64" spans="1:11" x14ac:dyDescent="0.2">
      <c r="A64" s="142"/>
      <c r="B64" s="142"/>
      <c r="C64" s="142"/>
      <c r="D64" s="142"/>
      <c r="E64" s="142"/>
      <c r="F64" s="111"/>
      <c r="G64" s="111"/>
      <c r="H64" s="111"/>
      <c r="I64" s="111"/>
      <c r="J64" s="111"/>
      <c r="K64" s="111"/>
    </row>
    <row r="65" spans="1:11" x14ac:dyDescent="0.2">
      <c r="A65" s="142"/>
      <c r="B65" s="142"/>
      <c r="C65" s="142"/>
      <c r="D65" s="142"/>
      <c r="E65" s="142"/>
      <c r="F65" s="111"/>
      <c r="G65" s="111"/>
      <c r="H65" s="111"/>
      <c r="I65" s="111"/>
      <c r="J65" s="111"/>
      <c r="K65" s="111"/>
    </row>
    <row r="66" spans="1:11" ht="14.4" x14ac:dyDescent="0.3">
      <c r="A66" s="151"/>
      <c r="B66" s="152"/>
      <c r="C66" s="151"/>
      <c r="D66" s="151"/>
      <c r="E66" s="151"/>
      <c r="F66" s="132"/>
      <c r="G66" s="111"/>
      <c r="H66" s="111"/>
      <c r="I66" s="111"/>
      <c r="J66" s="111"/>
      <c r="K66" s="111"/>
    </row>
  </sheetData>
  <mergeCells count="1">
    <mergeCell ref="D16:D18"/>
  </mergeCells>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 r:id="rId3"/>
  <legacyDrawingHF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35F0A-E612-4C0C-A46C-F88F2DA2FF6F}">
  <sheetPr codeName="Sheet9">
    <tabColor rgb="FF353D30"/>
  </sheetPr>
  <dimension ref="A1:M87"/>
  <sheetViews>
    <sheetView view="pageBreakPreview" topLeftCell="A56" zoomScaleNormal="100" zoomScaleSheetLayoutView="100" workbookViewId="0"/>
  </sheetViews>
  <sheetFormatPr defaultColWidth="8.7109375" defaultRowHeight="10.199999999999999" x14ac:dyDescent="0.2"/>
  <cols>
    <col min="1" max="1" width="41.28515625" customWidth="1"/>
    <col min="2" max="2" width="18.7109375" customWidth="1"/>
    <col min="3" max="3" width="12.28515625" customWidth="1"/>
    <col min="4" max="4" width="14" customWidth="1"/>
  </cols>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35" t="s">
        <v>295</v>
      </c>
      <c r="B6" s="136" t="s">
        <v>324</v>
      </c>
      <c r="C6" s="135"/>
      <c r="D6" s="135"/>
      <c r="E6" s="10"/>
      <c r="F6" s="10"/>
      <c r="G6" s="10"/>
      <c r="H6" s="10"/>
      <c r="I6" s="10"/>
      <c r="J6" s="10"/>
      <c r="K6" s="10"/>
      <c r="L6" s="10"/>
      <c r="M6" s="10"/>
    </row>
    <row r="7" spans="1:13" s="11" customFormat="1" x14ac:dyDescent="0.2">
      <c r="A7" t="s">
        <v>299</v>
      </c>
      <c r="B7" s="137">
        <v>1.8</v>
      </c>
      <c r="C7" t="s">
        <v>106</v>
      </c>
      <c r="D7"/>
    </row>
    <row r="8" spans="1:13" s="11" customFormat="1" ht="11.4" x14ac:dyDescent="0.2">
      <c r="A8" t="s">
        <v>245</v>
      </c>
      <c r="B8" s="137">
        <v>20</v>
      </c>
      <c r="C8" t="s">
        <v>296</v>
      </c>
      <c r="D8"/>
    </row>
    <row r="9" spans="1:13" x14ac:dyDescent="0.2">
      <c r="A9" t="s">
        <v>246</v>
      </c>
      <c r="B9" s="137">
        <v>30</v>
      </c>
      <c r="C9" t="s">
        <v>247</v>
      </c>
    </row>
    <row r="10" spans="1:13" x14ac:dyDescent="0.2">
      <c r="A10" t="s">
        <v>248</v>
      </c>
      <c r="B10" s="137">
        <f>B7+0.3+0.3</f>
        <v>2.4</v>
      </c>
      <c r="C10" t="s">
        <v>106</v>
      </c>
    </row>
    <row r="11" spans="1:13" x14ac:dyDescent="0.2">
      <c r="A11" t="s">
        <v>249</v>
      </c>
      <c r="B11" s="138">
        <f>(1-SIN(RADIANS(B9)))/(1+SIN(RADIANS(B9)))</f>
        <v>0.33333333333333331</v>
      </c>
    </row>
    <row r="12" spans="1:13" ht="14.4" x14ac:dyDescent="0.3">
      <c r="A12" s="113" t="s">
        <v>250</v>
      </c>
      <c r="B12" s="138"/>
    </row>
    <row r="13" spans="1:13" x14ac:dyDescent="0.2">
      <c r="A13" s="111"/>
      <c r="B13" s="138">
        <f>0.5*B11*B8*B10^2</f>
        <v>19.2</v>
      </c>
      <c r="C13" t="s">
        <v>301</v>
      </c>
      <c r="E13" t="s">
        <v>276</v>
      </c>
    </row>
    <row r="14" spans="1:13" ht="13.8" x14ac:dyDescent="0.3">
      <c r="A14" s="139" t="s">
        <v>251</v>
      </c>
      <c r="B14" s="138"/>
      <c r="C14" s="114" t="s">
        <v>252</v>
      </c>
      <c r="D14" s="111"/>
    </row>
    <row r="15" spans="1:13" x14ac:dyDescent="0.2">
      <c r="A15" s="115" t="str">
        <f>B6</f>
        <v>MCR 1.8m Liner Depth, Rectangular Pit TC580D</v>
      </c>
      <c r="B15" s="138"/>
      <c r="C15" s="111"/>
      <c r="D15" s="111"/>
    </row>
    <row r="16" spans="1:13" ht="10.199999999999999" customHeight="1" x14ac:dyDescent="0.2">
      <c r="A16" t="s">
        <v>297</v>
      </c>
      <c r="B16" s="137">
        <v>1.5</v>
      </c>
      <c r="C16" t="s">
        <v>106</v>
      </c>
      <c r="D16" s="242" t="s">
        <v>253</v>
      </c>
    </row>
    <row r="17" spans="1:6" x14ac:dyDescent="0.2">
      <c r="A17" t="s">
        <v>298</v>
      </c>
      <c r="B17" s="137">
        <v>0.5</v>
      </c>
      <c r="C17" t="s">
        <v>106</v>
      </c>
      <c r="D17" s="242"/>
    </row>
    <row r="18" spans="1:6" x14ac:dyDescent="0.2">
      <c r="A18" t="s">
        <v>254</v>
      </c>
      <c r="B18" s="137">
        <v>67</v>
      </c>
      <c r="C18" t="s">
        <v>255</v>
      </c>
      <c r="D18" s="242"/>
      <c r="E18" s="97" t="s">
        <v>300</v>
      </c>
    </row>
    <row r="19" spans="1:6" x14ac:dyDescent="0.2">
      <c r="A19" t="s">
        <v>256</v>
      </c>
      <c r="B19" s="140">
        <f>1.09+0.3</f>
        <v>1.3900000000000001</v>
      </c>
      <c r="C19" t="s">
        <v>106</v>
      </c>
      <c r="D19" s="111"/>
    </row>
    <row r="20" spans="1:6" x14ac:dyDescent="0.2">
      <c r="A20" t="s">
        <v>259</v>
      </c>
      <c r="B20" s="138">
        <f>B11*B18*B19</f>
        <v>31.043333333333333</v>
      </c>
      <c r="C20" t="s">
        <v>301</v>
      </c>
      <c r="D20" s="111"/>
    </row>
    <row r="21" spans="1:6" x14ac:dyDescent="0.2">
      <c r="B21" s="111"/>
      <c r="D21" s="111"/>
    </row>
    <row r="22" spans="1:6" ht="12" x14ac:dyDescent="0.2">
      <c r="A22" s="139" t="s">
        <v>257</v>
      </c>
      <c r="B22" s="111"/>
      <c r="D22" s="111"/>
    </row>
    <row r="23" spans="1:6" x14ac:dyDescent="0.2">
      <c r="A23" t="s">
        <v>258</v>
      </c>
      <c r="B23" s="137">
        <v>0</v>
      </c>
      <c r="C23" t="s">
        <v>255</v>
      </c>
      <c r="D23" s="111"/>
    </row>
    <row r="24" spans="1:6" x14ac:dyDescent="0.2">
      <c r="A24" t="s">
        <v>259</v>
      </c>
      <c r="B24" s="138">
        <f>B11*B23*B10</f>
        <v>0</v>
      </c>
      <c r="C24" t="s">
        <v>301</v>
      </c>
      <c r="D24" s="111"/>
    </row>
    <row r="25" spans="1:6" x14ac:dyDescent="0.2">
      <c r="B25" s="111"/>
      <c r="D25" s="111"/>
    </row>
    <row r="26" spans="1:6" ht="12" x14ac:dyDescent="0.2">
      <c r="A26" s="139" t="s">
        <v>260</v>
      </c>
      <c r="B26" s="111"/>
      <c r="D26" s="111"/>
    </row>
    <row r="27" spans="1:6" ht="11.4" x14ac:dyDescent="0.2">
      <c r="A27" t="s">
        <v>261</v>
      </c>
      <c r="B27" s="116">
        <v>10</v>
      </c>
      <c r="C27" t="s">
        <v>296</v>
      </c>
      <c r="D27" s="111"/>
    </row>
    <row r="28" spans="1:6" x14ac:dyDescent="0.2">
      <c r="A28" t="s">
        <v>248</v>
      </c>
      <c r="B28" s="117">
        <f>B10</f>
        <v>2.4</v>
      </c>
      <c r="C28" t="s">
        <v>106</v>
      </c>
      <c r="D28" s="111"/>
    </row>
    <row r="29" spans="1:6" x14ac:dyDescent="0.2">
      <c r="A29" t="s">
        <v>262</v>
      </c>
      <c r="B29" s="111">
        <f>0.5*B27*B28^2*B11</f>
        <v>9.5999999999999979</v>
      </c>
      <c r="C29" t="s">
        <v>301</v>
      </c>
      <c r="D29" s="111"/>
    </row>
    <row r="31" spans="1:6" ht="30.6" x14ac:dyDescent="0.2">
      <c r="A31" s="112" t="s">
        <v>263</v>
      </c>
      <c r="B31" s="112" t="s">
        <v>301</v>
      </c>
      <c r="C31" s="112" t="s">
        <v>264</v>
      </c>
      <c r="D31" s="118" t="s">
        <v>265</v>
      </c>
      <c r="E31" s="119" t="s">
        <v>302</v>
      </c>
      <c r="F31" s="119" t="s">
        <v>303</v>
      </c>
    </row>
    <row r="32" spans="1:6" x14ac:dyDescent="0.2">
      <c r="A32" s="112" t="s">
        <v>266</v>
      </c>
      <c r="B32" s="112">
        <f>B13</f>
        <v>19.2</v>
      </c>
      <c r="C32" s="112">
        <f>(1/3)*B10</f>
        <v>0.79999999999999993</v>
      </c>
      <c r="D32" s="116">
        <v>1.5</v>
      </c>
      <c r="E32" s="112">
        <f>B32*C32*D32</f>
        <v>23.039999999999996</v>
      </c>
      <c r="F32" s="112">
        <f>B32*D32</f>
        <v>28.799999999999997</v>
      </c>
    </row>
    <row r="33" spans="1:11" x14ac:dyDescent="0.2">
      <c r="A33" s="112" t="s">
        <v>267</v>
      </c>
      <c r="B33" s="112">
        <f>B20</f>
        <v>31.043333333333333</v>
      </c>
      <c r="C33" s="112">
        <f>0.5*B19</f>
        <v>0.69500000000000006</v>
      </c>
      <c r="D33" s="116">
        <v>1.5</v>
      </c>
      <c r="E33" s="112">
        <f t="shared" ref="E33:E35" si="0">B33*C33*D33</f>
        <v>32.362675000000003</v>
      </c>
      <c r="F33" s="112">
        <f t="shared" ref="F33:F35" si="1">B33*D33</f>
        <v>46.564999999999998</v>
      </c>
    </row>
    <row r="34" spans="1:11" x14ac:dyDescent="0.2">
      <c r="A34" s="112" t="s">
        <v>268</v>
      </c>
      <c r="B34" s="112">
        <f>B29</f>
        <v>9.5999999999999979</v>
      </c>
      <c r="C34" s="112">
        <f>(1/3)*B28</f>
        <v>0.79999999999999993</v>
      </c>
      <c r="D34" s="116">
        <v>1</v>
      </c>
      <c r="E34" s="112">
        <f t="shared" si="0"/>
        <v>7.6799999999999979</v>
      </c>
      <c r="F34" s="112">
        <f t="shared" si="1"/>
        <v>9.5999999999999979</v>
      </c>
    </row>
    <row r="35" spans="1:11" x14ac:dyDescent="0.2">
      <c r="A35" s="112" t="s">
        <v>269</v>
      </c>
      <c r="B35" s="112">
        <f>B24</f>
        <v>0</v>
      </c>
      <c r="C35" s="112">
        <f>0.5*B10</f>
        <v>1.2</v>
      </c>
      <c r="D35" s="116">
        <v>1.5</v>
      </c>
      <c r="E35" s="112">
        <f t="shared" si="0"/>
        <v>0</v>
      </c>
      <c r="F35" s="112">
        <f t="shared" si="1"/>
        <v>0</v>
      </c>
    </row>
    <row r="36" spans="1:11" x14ac:dyDescent="0.2">
      <c r="A36" s="112" t="s">
        <v>270</v>
      </c>
      <c r="B36" s="112">
        <f>SUM(B32:B35)</f>
        <v>59.843333333333334</v>
      </c>
      <c r="C36" s="112"/>
      <c r="D36" s="112"/>
      <c r="E36" s="112">
        <f>SUM(E32:E35)</f>
        <v>63.082675000000002</v>
      </c>
      <c r="F36" s="112">
        <f>SUM(F32:F35)</f>
        <v>84.964999999999989</v>
      </c>
    </row>
    <row r="37" spans="1:11" x14ac:dyDescent="0.2">
      <c r="A37" s="111"/>
      <c r="B37" s="111"/>
      <c r="C37" s="111"/>
      <c r="D37" s="111"/>
      <c r="E37" s="112"/>
      <c r="F37" s="112"/>
    </row>
    <row r="38" spans="1:11" x14ac:dyDescent="0.2">
      <c r="A38" t="s">
        <v>304</v>
      </c>
      <c r="B38" s="157">
        <f>E36</f>
        <v>63.082675000000002</v>
      </c>
      <c r="C38" s="111" t="s">
        <v>305</v>
      </c>
      <c r="D38" s="111"/>
      <c r="E38" s="111"/>
      <c r="F38" s="111"/>
      <c r="G38" s="111"/>
      <c r="H38" s="111"/>
      <c r="I38" s="111"/>
      <c r="J38" s="111"/>
      <c r="K38" s="111"/>
    </row>
    <row r="39" spans="1:11" ht="13.8" x14ac:dyDescent="0.3">
      <c r="A39" t="s">
        <v>312</v>
      </c>
      <c r="B39" s="157">
        <f>F36</f>
        <v>84.964999999999989</v>
      </c>
      <c r="C39" s="111" t="s">
        <v>307</v>
      </c>
      <c r="D39" s="141"/>
      <c r="E39" s="142"/>
      <c r="F39" s="111"/>
      <c r="G39" s="121"/>
      <c r="H39" s="153"/>
      <c r="I39" s="154"/>
      <c r="J39" s="105"/>
      <c r="K39" s="105"/>
    </row>
    <row r="40" spans="1:11" ht="13.8" x14ac:dyDescent="0.3">
      <c r="B40" s="104"/>
      <c r="C40" s="104"/>
      <c r="D40" s="160"/>
      <c r="E40" s="142"/>
      <c r="F40" s="111"/>
      <c r="G40" s="105"/>
      <c r="H40" s="155"/>
      <c r="I40" s="104"/>
      <c r="J40" s="105"/>
      <c r="K40" s="105"/>
    </row>
    <row r="41" spans="1:11" ht="13.8" x14ac:dyDescent="0.3">
      <c r="A41" s="120" t="s">
        <v>271</v>
      </c>
      <c r="B41" s="159"/>
      <c r="C41" s="142"/>
      <c r="D41" s="158"/>
      <c r="E41" s="143"/>
      <c r="F41" s="104"/>
      <c r="G41" s="105"/>
      <c r="H41" s="155"/>
      <c r="I41" s="104"/>
      <c r="J41" s="105"/>
      <c r="K41" s="105"/>
    </row>
    <row r="42" spans="1:11" ht="13.8" x14ac:dyDescent="0.3">
      <c r="A42" s="104"/>
      <c r="B42" s="123"/>
      <c r="C42" s="104"/>
      <c r="D42" s="104"/>
      <c r="E42" s="104"/>
      <c r="F42" s="104"/>
      <c r="G42" s="124"/>
      <c r="H42" s="156"/>
      <c r="I42" s="104"/>
      <c r="J42" s="105"/>
      <c r="K42" s="105"/>
    </row>
    <row r="43" spans="1:11" ht="13.8" x14ac:dyDescent="0.3">
      <c r="A43" t="s">
        <v>272</v>
      </c>
      <c r="B43" s="161" t="s">
        <v>273</v>
      </c>
      <c r="C43" t="s">
        <v>274</v>
      </c>
      <c r="D43" s="105"/>
      <c r="E43" s="105"/>
      <c r="F43" s="105"/>
      <c r="G43" s="124"/>
      <c r="H43" s="155"/>
      <c r="I43" s="105"/>
      <c r="J43" s="105"/>
      <c r="K43" s="105"/>
    </row>
    <row r="44" spans="1:11" ht="13.8" x14ac:dyDescent="0.3">
      <c r="A44" t="s">
        <v>315</v>
      </c>
      <c r="B44" s="137">
        <v>40</v>
      </c>
      <c r="C44" t="s">
        <v>277</v>
      </c>
      <c r="D44" s="105"/>
      <c r="E44" s="105"/>
      <c r="F44" s="105"/>
      <c r="G44" s="104"/>
      <c r="H44" s="155"/>
      <c r="I44" s="105"/>
      <c r="J44" s="105"/>
      <c r="K44" s="105"/>
    </row>
    <row r="45" spans="1:11" ht="13.8" x14ac:dyDescent="0.3">
      <c r="A45" t="s">
        <v>314</v>
      </c>
      <c r="B45" s="137">
        <v>500</v>
      </c>
      <c r="C45" t="s">
        <v>277</v>
      </c>
      <c r="D45" s="105"/>
      <c r="E45" s="105"/>
      <c r="F45" s="105"/>
      <c r="G45" s="105"/>
      <c r="H45" s="155"/>
      <c r="I45" s="105"/>
      <c r="J45" s="105"/>
      <c r="K45" s="105"/>
    </row>
    <row r="46" spans="1:11" ht="13.8" x14ac:dyDescent="0.3">
      <c r="A46" t="s">
        <v>313</v>
      </c>
      <c r="B46" s="137">
        <f>B38</f>
        <v>63.082675000000002</v>
      </c>
      <c r="C46" t="s">
        <v>12</v>
      </c>
      <c r="D46" s="105"/>
      <c r="E46" s="105"/>
      <c r="F46" s="105"/>
      <c r="G46" s="110"/>
      <c r="H46" s="155"/>
      <c r="I46" s="105"/>
      <c r="J46" s="105"/>
      <c r="K46" s="105"/>
    </row>
    <row r="47" spans="1:11" ht="13.8" x14ac:dyDescent="0.3">
      <c r="A47" t="s">
        <v>280</v>
      </c>
      <c r="B47" s="137">
        <v>1000</v>
      </c>
      <c r="C47" t="s">
        <v>10</v>
      </c>
      <c r="D47" s="105"/>
      <c r="E47" s="105"/>
      <c r="F47" s="105"/>
      <c r="G47" s="105"/>
      <c r="H47" s="126"/>
      <c r="I47" s="105"/>
      <c r="J47" s="105"/>
      <c r="K47" s="105"/>
    </row>
    <row r="48" spans="1:11" ht="13.8" x14ac:dyDescent="0.3">
      <c r="A48" t="s">
        <v>282</v>
      </c>
      <c r="B48" s="137">
        <v>200</v>
      </c>
      <c r="C48" t="s">
        <v>10</v>
      </c>
      <c r="D48" s="105"/>
      <c r="E48" s="105"/>
      <c r="F48" s="105"/>
      <c r="G48" s="105"/>
      <c r="H48" s="126"/>
      <c r="I48" s="105"/>
      <c r="J48" s="105"/>
      <c r="K48" s="105"/>
    </row>
    <row r="49" spans="1:11" ht="13.8" x14ac:dyDescent="0.3">
      <c r="A49" t="s">
        <v>283</v>
      </c>
      <c r="B49" s="137">
        <v>20</v>
      </c>
      <c r="C49" t="s">
        <v>10</v>
      </c>
      <c r="D49" t="s">
        <v>284</v>
      </c>
      <c r="F49" s="105"/>
      <c r="G49" s="127"/>
      <c r="H49" s="126"/>
      <c r="I49" s="105"/>
      <c r="J49" s="105"/>
      <c r="K49" s="105"/>
    </row>
    <row r="50" spans="1:11" ht="13.8" x14ac:dyDescent="0.3">
      <c r="A50" t="s">
        <v>286</v>
      </c>
      <c r="B50" s="137">
        <v>30</v>
      </c>
      <c r="C50" t="s">
        <v>10</v>
      </c>
      <c r="F50" s="105"/>
      <c r="G50" s="105"/>
      <c r="H50" s="105"/>
      <c r="I50" s="105"/>
      <c r="J50" s="105"/>
      <c r="K50" s="105"/>
    </row>
    <row r="51" spans="1:11" ht="13.8" x14ac:dyDescent="0.3">
      <c r="A51" t="s">
        <v>287</v>
      </c>
      <c r="B51" s="111">
        <f>B49+B50</f>
        <v>50</v>
      </c>
      <c r="C51" t="s">
        <v>10</v>
      </c>
      <c r="F51" s="105"/>
      <c r="G51" s="105"/>
      <c r="H51" s="105"/>
      <c r="I51" s="105"/>
      <c r="J51" s="105"/>
      <c r="K51" s="105"/>
    </row>
    <row r="52" spans="1:11" ht="13.8" x14ac:dyDescent="0.3">
      <c r="A52" t="s">
        <v>316</v>
      </c>
      <c r="B52" s="162">
        <v>16</v>
      </c>
      <c r="C52" t="s">
        <v>317</v>
      </c>
      <c r="D52" s="162">
        <v>150</v>
      </c>
      <c r="E52" t="s">
        <v>10</v>
      </c>
      <c r="F52" s="105" t="s">
        <v>318</v>
      </c>
      <c r="G52" s="105"/>
      <c r="H52" s="105"/>
      <c r="I52" s="105"/>
      <c r="J52" s="105"/>
      <c r="K52" s="105"/>
    </row>
    <row r="53" spans="1:11" ht="13.8" x14ac:dyDescent="0.3">
      <c r="A53" t="s">
        <v>288</v>
      </c>
      <c r="B53" s="111">
        <f>B48-B51-(B52/2)</f>
        <v>142</v>
      </c>
      <c r="C53" t="s">
        <v>10</v>
      </c>
      <c r="F53" s="105"/>
      <c r="G53" s="105"/>
      <c r="H53" s="105"/>
      <c r="I53" s="105"/>
      <c r="J53" s="105"/>
      <c r="K53" s="105"/>
    </row>
    <row r="54" spans="1:11" ht="13.8" x14ac:dyDescent="0.3">
      <c r="A54" t="s">
        <v>289</v>
      </c>
      <c r="B54" s="131">
        <f>0.97-0.0025*B44</f>
        <v>0.87</v>
      </c>
      <c r="C54" s="105"/>
      <c r="D54" t="s">
        <v>290</v>
      </c>
      <c r="F54" s="105"/>
      <c r="G54" s="105"/>
      <c r="H54" s="105"/>
      <c r="I54" s="105"/>
      <c r="J54" s="105"/>
      <c r="K54" s="105"/>
    </row>
    <row r="55" spans="1:11" ht="13.8" x14ac:dyDescent="0.3">
      <c r="A55" s="142"/>
      <c r="B55" s="142"/>
      <c r="C55" s="142"/>
      <c r="D55" s="142"/>
      <c r="E55" s="142"/>
      <c r="F55" s="111"/>
      <c r="G55" s="105"/>
      <c r="H55" s="105"/>
      <c r="I55" s="105"/>
      <c r="J55" s="105"/>
      <c r="K55" s="105"/>
    </row>
    <row r="56" spans="1:11" ht="13.8" x14ac:dyDescent="0.3">
      <c r="A56" s="104"/>
      <c r="B56" s="104"/>
      <c r="C56" s="104"/>
      <c r="D56" s="111"/>
      <c r="E56" s="142"/>
      <c r="F56" s="111"/>
      <c r="G56" s="105"/>
      <c r="H56" s="105"/>
      <c r="I56" s="105"/>
      <c r="J56" s="105"/>
      <c r="K56" s="105"/>
    </row>
    <row r="57" spans="1:11" ht="13.8" x14ac:dyDescent="0.3">
      <c r="A57" s="104"/>
      <c r="B57" s="122"/>
      <c r="C57" s="111"/>
      <c r="D57" s="104"/>
      <c r="E57" s="142"/>
      <c r="F57" s="111"/>
      <c r="G57" s="105"/>
      <c r="H57" s="105"/>
      <c r="I57" s="105"/>
      <c r="J57" s="105"/>
      <c r="K57" s="105"/>
    </row>
    <row r="58" spans="1:11" ht="13.8" x14ac:dyDescent="0.3">
      <c r="A58" s="104"/>
      <c r="B58" s="123"/>
      <c r="C58" s="104"/>
      <c r="D58" s="104"/>
      <c r="E58" s="142"/>
      <c r="F58" s="111"/>
      <c r="G58" s="105"/>
      <c r="H58" s="105"/>
      <c r="I58" s="105"/>
      <c r="J58" s="105"/>
      <c r="K58" s="105"/>
    </row>
    <row r="59" spans="1:11" ht="13.8" x14ac:dyDescent="0.3">
      <c r="A59" s="104"/>
      <c r="B59" s="104"/>
      <c r="C59" s="104"/>
      <c r="D59" s="104"/>
      <c r="E59" s="142"/>
      <c r="F59" s="111"/>
      <c r="G59" s="105"/>
      <c r="H59" s="105"/>
      <c r="I59" s="105"/>
      <c r="J59" s="105"/>
      <c r="K59" s="105"/>
    </row>
    <row r="60" spans="1:11" ht="13.8" x14ac:dyDescent="0.3">
      <c r="A60" t="s">
        <v>275</v>
      </c>
      <c r="B60" s="104"/>
      <c r="C60" s="104"/>
      <c r="D60" s="104"/>
      <c r="E60" s="142"/>
      <c r="F60" s="111"/>
      <c r="G60" s="105"/>
      <c r="H60" s="105"/>
      <c r="I60" s="105"/>
      <c r="J60" s="105"/>
      <c r="K60" s="105"/>
    </row>
    <row r="61" spans="1:11" ht="31.2" customHeight="1" x14ac:dyDescent="0.3">
      <c r="A61" s="104"/>
      <c r="B61" s="133">
        <f>((B46*10^6)/(B47*B53^2*B44))</f>
        <v>7.8212005306486809E-2</v>
      </c>
      <c r="C61" t="s">
        <v>276</v>
      </c>
      <c r="D61" s="104"/>
      <c r="E61" s="142"/>
      <c r="F61" s="111"/>
      <c r="G61" s="111"/>
      <c r="H61" s="111"/>
      <c r="I61" s="111"/>
      <c r="J61" s="111"/>
      <c r="K61" s="111"/>
    </row>
    <row r="62" spans="1:11" ht="13.8" x14ac:dyDescent="0.3">
      <c r="A62" t="s">
        <v>278</v>
      </c>
      <c r="D62" s="104"/>
      <c r="E62" s="104"/>
      <c r="F62" s="111"/>
      <c r="G62" s="111"/>
      <c r="H62" s="105"/>
      <c r="I62" s="105"/>
      <c r="J62" s="105"/>
      <c r="K62" s="105"/>
    </row>
    <row r="63" spans="1:11" ht="13.8" x14ac:dyDescent="0.3">
      <c r="A63" t="s">
        <v>279</v>
      </c>
      <c r="D63" s="104"/>
      <c r="E63" s="104"/>
      <c r="F63" s="111"/>
      <c r="G63" s="111"/>
      <c r="H63" s="111"/>
      <c r="I63" s="111"/>
      <c r="J63" s="111"/>
      <c r="K63" s="111"/>
    </row>
    <row r="64" spans="1:11" ht="13.8" x14ac:dyDescent="0.3">
      <c r="A64" t="s">
        <v>281</v>
      </c>
      <c r="B64" s="163">
        <f>0.87*B53</f>
        <v>123.54</v>
      </c>
      <c r="C64" t="s">
        <v>10</v>
      </c>
      <c r="D64" s="104"/>
      <c r="E64" s="105"/>
      <c r="F64" s="111"/>
      <c r="G64" s="111"/>
      <c r="H64" s="111"/>
      <c r="I64" s="111"/>
      <c r="J64" s="111"/>
      <c r="K64" s="111"/>
    </row>
    <row r="65" spans="1:11" ht="13.8" x14ac:dyDescent="0.3">
      <c r="D65" s="104"/>
      <c r="E65" s="142"/>
      <c r="F65" s="111"/>
      <c r="G65" s="111"/>
      <c r="H65" s="111"/>
      <c r="I65" s="111"/>
      <c r="J65" s="111"/>
      <c r="K65" s="111"/>
    </row>
    <row r="66" spans="1:11" ht="14.4" x14ac:dyDescent="0.3">
      <c r="A66" t="s">
        <v>285</v>
      </c>
      <c r="D66" s="111"/>
      <c r="E66" s="151"/>
      <c r="F66" s="132"/>
      <c r="G66" s="111"/>
      <c r="H66" s="111"/>
      <c r="I66" s="111"/>
      <c r="J66" s="111"/>
      <c r="K66" s="111"/>
    </row>
    <row r="67" spans="1:11" ht="29.4" customHeight="1" x14ac:dyDescent="0.2">
      <c r="A67" s="111"/>
      <c r="B67" s="163">
        <f>((B46*10^6)/(B54*B45*B64))</f>
        <v>1173.8517377218789</v>
      </c>
      <c r="C67" t="s">
        <v>319</v>
      </c>
      <c r="D67" s="111"/>
    </row>
    <row r="68" spans="1:11" x14ac:dyDescent="0.2">
      <c r="A68" t="s">
        <v>320</v>
      </c>
      <c r="D68" s="111"/>
    </row>
    <row r="69" spans="1:11" ht="33" customHeight="1" x14ac:dyDescent="0.2">
      <c r="B69" s="163">
        <f>((PI()*B52^2)/4)*(B47/D52)</f>
        <v>1340.4128655316451</v>
      </c>
      <c r="C69" t="s">
        <v>319</v>
      </c>
    </row>
    <row r="71" spans="1:11" ht="13.8" x14ac:dyDescent="0.3">
      <c r="A71" s="128" t="str">
        <f>IF(B67&lt;B69,"Adequate","Not adequate")</f>
        <v>Adequate</v>
      </c>
      <c r="B71" t="str">
        <f>IF(B66&lt;B69," since required reinforcement area is less than provided reinforcement area"," since required reinforcement area is more than provided reinforcement area.")</f>
        <v xml:space="preserve"> since required reinforcement area is less than provided reinforcement area</v>
      </c>
    </row>
    <row r="73" spans="1:11" ht="13.8" x14ac:dyDescent="0.3">
      <c r="A73" s="120" t="s">
        <v>291</v>
      </c>
    </row>
    <row r="75" spans="1:11" x14ac:dyDescent="0.2">
      <c r="A75" s="111" t="s">
        <v>292</v>
      </c>
      <c r="B75" s="111">
        <f>B53</f>
        <v>142</v>
      </c>
      <c r="C75" s="111" t="s">
        <v>10</v>
      </c>
    </row>
    <row r="76" spans="1:11" ht="13.8" x14ac:dyDescent="0.3">
      <c r="A76" s="129" t="s">
        <v>293</v>
      </c>
      <c r="B76" s="130">
        <v>0.79</v>
      </c>
    </row>
    <row r="77" spans="1:11" ht="13.8" x14ac:dyDescent="0.3">
      <c r="A77" s="129" t="s">
        <v>289</v>
      </c>
      <c r="B77" s="130">
        <v>0.87</v>
      </c>
    </row>
    <row r="79" spans="1:11" ht="16.95" customHeight="1" x14ac:dyDescent="0.2"/>
    <row r="80" spans="1:11" ht="18.600000000000001" customHeight="1" x14ac:dyDescent="0.2"/>
    <row r="81" spans="1:3" ht="38.4" customHeight="1" x14ac:dyDescent="0.2">
      <c r="B81" s="131">
        <f>(B45*B69)/(B76*B77*B44*B47)</f>
        <v>24.378234859807311</v>
      </c>
      <c r="C81" s="111" t="s">
        <v>10</v>
      </c>
    </row>
    <row r="82" spans="1:3" ht="28.95" customHeight="1" x14ac:dyDescent="0.2">
      <c r="B82" s="117">
        <f>B81/B75</f>
        <v>0.17167771028033318</v>
      </c>
    </row>
    <row r="83" spans="1:3" x14ac:dyDescent="0.2">
      <c r="A83" s="111" t="str">
        <f>IF(B82&lt;0.36,"Compression reinforcement not required","Compression reinforcement required")</f>
        <v>Compression reinforcement not required</v>
      </c>
    </row>
    <row r="84" spans="1:3" ht="13.8" x14ac:dyDescent="0.3">
      <c r="A84" s="111" t="s">
        <v>294</v>
      </c>
      <c r="B84" s="130">
        <v>0.85</v>
      </c>
    </row>
    <row r="85" spans="1:3" ht="35.4" customHeight="1" x14ac:dyDescent="0.2">
      <c r="B85" s="111">
        <f>B84*(B45*B69)*(B75-((B77*B81)/2))*10^-6</f>
        <v>74.852774612958441</v>
      </c>
      <c r="C85" s="111" t="s">
        <v>305</v>
      </c>
    </row>
    <row r="86" spans="1:3" x14ac:dyDescent="0.2">
      <c r="A86" s="111" t="str">
        <f>IF(B85&gt;B46,"Since, Muo &gt; M*, Okay","Since, Muo &lt; M*, Not Okay")</f>
        <v>Since, Muo &gt; M*, Okay</v>
      </c>
    </row>
    <row r="87" spans="1:3" ht="14.4" x14ac:dyDescent="0.3">
      <c r="A87" s="132" t="str">
        <f>IF(B85&gt;H63,"")</f>
        <v/>
      </c>
    </row>
  </sheetData>
  <mergeCells count="1">
    <mergeCell ref="D16:D18"/>
  </mergeCells>
  <conditionalFormatting sqref="A71">
    <cfRule type="expression" dxfId="40" priority="3">
      <formula>$B$42&lt;$B$45</formula>
    </cfRule>
    <cfRule type="expression" dxfId="39" priority="4">
      <formula>$B$42&lt;$B$45</formula>
    </cfRule>
    <cfRule type="expression" dxfId="38" priority="5">
      <formula>"B37&lt;B40"</formula>
    </cfRule>
  </conditionalFormatting>
  <conditionalFormatting sqref="A83">
    <cfRule type="expression" dxfId="37" priority="2">
      <formula>$B$56&lt;0.36</formula>
    </cfRule>
  </conditionalFormatting>
  <conditionalFormatting sqref="A86">
    <cfRule type="expression" dxfId="36" priority="1">
      <formula>$B$59&gt;$H$37</formula>
    </cfRule>
  </conditionalFormatting>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 r:id="rId3"/>
  <legacyDrawingHF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963BF-428B-42D0-B5F8-17D1EA6B3463}">
  <sheetPr codeName="Sheet10">
    <tabColor rgb="FF353D30"/>
  </sheetPr>
  <dimension ref="A1:M87"/>
  <sheetViews>
    <sheetView view="pageBreakPreview" topLeftCell="A69" zoomScaleNormal="100" zoomScaleSheetLayoutView="100" workbookViewId="0"/>
  </sheetViews>
  <sheetFormatPr defaultColWidth="8.7109375" defaultRowHeight="10.199999999999999" x14ac:dyDescent="0.2"/>
  <cols>
    <col min="1" max="1" width="41.28515625" customWidth="1"/>
    <col min="2" max="2" width="18.7109375" customWidth="1"/>
    <col min="3" max="3" width="12.28515625" customWidth="1"/>
    <col min="4" max="4" width="14" customWidth="1"/>
  </cols>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35" t="s">
        <v>295</v>
      </c>
      <c r="B6" s="136" t="s">
        <v>321</v>
      </c>
      <c r="C6" s="135"/>
      <c r="D6" s="135"/>
      <c r="E6" s="10"/>
      <c r="F6" s="10"/>
      <c r="G6" s="10"/>
      <c r="H6" s="10"/>
      <c r="I6" s="10"/>
      <c r="J6" s="10"/>
      <c r="K6" s="10"/>
      <c r="L6" s="10"/>
      <c r="M6" s="10"/>
    </row>
    <row r="7" spans="1:13" s="11" customFormat="1" x14ac:dyDescent="0.2">
      <c r="A7" t="s">
        <v>299</v>
      </c>
      <c r="B7" s="137">
        <v>1.2</v>
      </c>
      <c r="C7" t="s">
        <v>106</v>
      </c>
      <c r="D7"/>
    </row>
    <row r="8" spans="1:13" s="11" customFormat="1" ht="11.4" x14ac:dyDescent="0.2">
      <c r="A8" t="s">
        <v>245</v>
      </c>
      <c r="B8" s="137">
        <v>20</v>
      </c>
      <c r="C8" t="s">
        <v>296</v>
      </c>
      <c r="D8"/>
    </row>
    <row r="9" spans="1:13" x14ac:dyDescent="0.2">
      <c r="A9" t="s">
        <v>246</v>
      </c>
      <c r="B9" s="137">
        <v>30</v>
      </c>
      <c r="C9" t="s">
        <v>247</v>
      </c>
    </row>
    <row r="10" spans="1:13" x14ac:dyDescent="0.2">
      <c r="A10" t="s">
        <v>248</v>
      </c>
      <c r="B10" s="137">
        <f>B7+0.3+0.3</f>
        <v>1.8</v>
      </c>
      <c r="C10" t="s">
        <v>106</v>
      </c>
    </row>
    <row r="11" spans="1:13" x14ac:dyDescent="0.2">
      <c r="A11" t="s">
        <v>249</v>
      </c>
      <c r="B11" s="138">
        <f>(1-SIN(RADIANS(B9)))/(1+SIN(RADIANS(B9)))</f>
        <v>0.33333333333333331</v>
      </c>
    </row>
    <row r="12" spans="1:13" ht="14.4" x14ac:dyDescent="0.3">
      <c r="A12" s="113" t="s">
        <v>250</v>
      </c>
      <c r="B12" s="138"/>
    </row>
    <row r="13" spans="1:13" x14ac:dyDescent="0.2">
      <c r="A13" s="111"/>
      <c r="B13" s="138">
        <f>0.5*B11*B8*B10^2</f>
        <v>10.799999999999999</v>
      </c>
      <c r="C13" t="s">
        <v>301</v>
      </c>
      <c r="E13" t="s">
        <v>276</v>
      </c>
    </row>
    <row r="14" spans="1:13" ht="13.8" x14ac:dyDescent="0.3">
      <c r="A14" s="139" t="s">
        <v>251</v>
      </c>
      <c r="B14" s="138"/>
      <c r="C14" s="114" t="s">
        <v>252</v>
      </c>
      <c r="D14" s="111"/>
    </row>
    <row r="15" spans="1:13" x14ac:dyDescent="0.2">
      <c r="A15" s="115" t="str">
        <f>B6</f>
        <v>MCR 1.2m Liner Depth, Rectangular Pit TC2476U</v>
      </c>
      <c r="B15" s="138"/>
      <c r="C15" s="111"/>
      <c r="D15" s="111"/>
    </row>
    <row r="16" spans="1:13" ht="10.199999999999999" customHeight="1" x14ac:dyDescent="0.2">
      <c r="A16" t="s">
        <v>297</v>
      </c>
      <c r="B16" s="137">
        <v>1.2</v>
      </c>
      <c r="C16" t="s">
        <v>106</v>
      </c>
      <c r="D16" s="242" t="s">
        <v>253</v>
      </c>
    </row>
    <row r="17" spans="1:6" x14ac:dyDescent="0.2">
      <c r="A17" t="s">
        <v>298</v>
      </c>
      <c r="B17" s="137">
        <v>0.5</v>
      </c>
      <c r="C17" t="s">
        <v>106</v>
      </c>
      <c r="D17" s="242"/>
    </row>
    <row r="18" spans="1:6" x14ac:dyDescent="0.2">
      <c r="A18" t="s">
        <v>254</v>
      </c>
      <c r="B18" s="137">
        <v>73</v>
      </c>
      <c r="C18" t="s">
        <v>255</v>
      </c>
      <c r="D18" s="242"/>
      <c r="E18" s="97" t="s">
        <v>300</v>
      </c>
    </row>
    <row r="19" spans="1:6" x14ac:dyDescent="0.2">
      <c r="A19" t="s">
        <v>256</v>
      </c>
      <c r="B19" s="140">
        <v>1.25</v>
      </c>
      <c r="C19" t="s">
        <v>106</v>
      </c>
      <c r="D19" s="111"/>
    </row>
    <row r="20" spans="1:6" x14ac:dyDescent="0.2">
      <c r="A20" t="s">
        <v>259</v>
      </c>
      <c r="B20" s="138">
        <f>B11*B18*B19</f>
        <v>30.416666666666664</v>
      </c>
      <c r="C20" t="s">
        <v>301</v>
      </c>
      <c r="D20" s="111"/>
    </row>
    <row r="21" spans="1:6" x14ac:dyDescent="0.2">
      <c r="B21" s="111"/>
      <c r="D21" s="111"/>
    </row>
    <row r="22" spans="1:6" ht="12" x14ac:dyDescent="0.2">
      <c r="A22" s="139" t="s">
        <v>257</v>
      </c>
      <c r="B22" s="111"/>
      <c r="D22" s="111"/>
    </row>
    <row r="23" spans="1:6" x14ac:dyDescent="0.2">
      <c r="A23" t="s">
        <v>258</v>
      </c>
      <c r="B23" s="137">
        <v>0</v>
      </c>
      <c r="C23" t="s">
        <v>255</v>
      </c>
      <c r="D23" s="111"/>
    </row>
    <row r="24" spans="1:6" x14ac:dyDescent="0.2">
      <c r="A24" t="s">
        <v>259</v>
      </c>
      <c r="B24" s="138">
        <f>B11*B23*B10</f>
        <v>0</v>
      </c>
      <c r="C24" t="s">
        <v>301</v>
      </c>
      <c r="D24" s="111"/>
    </row>
    <row r="25" spans="1:6" x14ac:dyDescent="0.2">
      <c r="B25" s="111"/>
      <c r="D25" s="111"/>
    </row>
    <row r="26" spans="1:6" ht="12" x14ac:dyDescent="0.2">
      <c r="A26" s="139" t="s">
        <v>260</v>
      </c>
      <c r="B26" s="111"/>
      <c r="D26" s="111"/>
    </row>
    <row r="27" spans="1:6" ht="11.4" x14ac:dyDescent="0.2">
      <c r="A27" t="s">
        <v>261</v>
      </c>
      <c r="B27" s="116">
        <v>10</v>
      </c>
      <c r="C27" t="s">
        <v>296</v>
      </c>
      <c r="D27" s="111"/>
    </row>
    <row r="28" spans="1:6" x14ac:dyDescent="0.2">
      <c r="A28" t="s">
        <v>248</v>
      </c>
      <c r="B28" s="117">
        <f>B10</f>
        <v>1.8</v>
      </c>
      <c r="C28" t="s">
        <v>106</v>
      </c>
      <c r="D28" s="111"/>
    </row>
    <row r="29" spans="1:6" x14ac:dyDescent="0.2">
      <c r="A29" t="s">
        <v>262</v>
      </c>
      <c r="B29" s="111">
        <f>0.5*B27*B28^2*B11</f>
        <v>5.4</v>
      </c>
      <c r="C29" t="s">
        <v>301</v>
      </c>
      <c r="D29" s="111"/>
    </row>
    <row r="31" spans="1:6" ht="30.6" x14ac:dyDescent="0.2">
      <c r="A31" s="112" t="s">
        <v>263</v>
      </c>
      <c r="B31" s="112" t="s">
        <v>301</v>
      </c>
      <c r="C31" s="112" t="s">
        <v>264</v>
      </c>
      <c r="D31" s="118" t="s">
        <v>265</v>
      </c>
      <c r="E31" s="119" t="s">
        <v>302</v>
      </c>
      <c r="F31" s="119" t="s">
        <v>303</v>
      </c>
    </row>
    <row r="32" spans="1:6" x14ac:dyDescent="0.2">
      <c r="A32" s="112" t="s">
        <v>266</v>
      </c>
      <c r="B32" s="112">
        <f>B13</f>
        <v>10.799999999999999</v>
      </c>
      <c r="C32" s="112">
        <f>(1/3)*B10</f>
        <v>0.6</v>
      </c>
      <c r="D32" s="116">
        <v>1.5</v>
      </c>
      <c r="E32" s="112">
        <f>B32*C32*D32</f>
        <v>9.7199999999999989</v>
      </c>
      <c r="F32" s="112">
        <f>B32*D32</f>
        <v>16.2</v>
      </c>
    </row>
    <row r="33" spans="1:11" x14ac:dyDescent="0.2">
      <c r="A33" s="112" t="s">
        <v>267</v>
      </c>
      <c r="B33" s="112">
        <f>B20</f>
        <v>30.416666666666664</v>
      </c>
      <c r="C33" s="112">
        <f>0.5*B19</f>
        <v>0.625</v>
      </c>
      <c r="D33" s="116">
        <v>1.5</v>
      </c>
      <c r="E33" s="112">
        <f t="shared" ref="E33:E35" si="0">B33*C33*D33</f>
        <v>28.515624999999996</v>
      </c>
      <c r="F33" s="112">
        <f t="shared" ref="F33:F35" si="1">B33*D33</f>
        <v>45.625</v>
      </c>
    </row>
    <row r="34" spans="1:11" x14ac:dyDescent="0.2">
      <c r="A34" s="112" t="s">
        <v>268</v>
      </c>
      <c r="B34" s="112">
        <f>B29</f>
        <v>5.4</v>
      </c>
      <c r="C34" s="112">
        <f>(1/3)*B28</f>
        <v>0.6</v>
      </c>
      <c r="D34" s="116">
        <v>1</v>
      </c>
      <c r="E34" s="112">
        <f t="shared" si="0"/>
        <v>3.24</v>
      </c>
      <c r="F34" s="112">
        <f t="shared" si="1"/>
        <v>5.4</v>
      </c>
    </row>
    <row r="35" spans="1:11" x14ac:dyDescent="0.2">
      <c r="A35" s="112" t="s">
        <v>269</v>
      </c>
      <c r="B35" s="112">
        <f>B24</f>
        <v>0</v>
      </c>
      <c r="C35" s="112">
        <f>0.5*B10</f>
        <v>0.9</v>
      </c>
      <c r="D35" s="116">
        <v>1.5</v>
      </c>
      <c r="E35" s="112">
        <f t="shared" si="0"/>
        <v>0</v>
      </c>
      <c r="F35" s="112">
        <f t="shared" si="1"/>
        <v>0</v>
      </c>
    </row>
    <row r="36" spans="1:11" x14ac:dyDescent="0.2">
      <c r="A36" s="112" t="s">
        <v>270</v>
      </c>
      <c r="B36" s="112">
        <f>SUM(B32:B35)</f>
        <v>46.61666666666666</v>
      </c>
      <c r="C36" s="112"/>
      <c r="D36" s="112"/>
      <c r="E36" s="112">
        <f>SUM(E32:E35)</f>
        <v>41.475625000000001</v>
      </c>
      <c r="F36" s="112">
        <f>SUM(F32:F35)</f>
        <v>67.225000000000009</v>
      </c>
    </row>
    <row r="37" spans="1:11" x14ac:dyDescent="0.2">
      <c r="A37" s="111"/>
      <c r="B37" s="111"/>
      <c r="C37" s="111"/>
      <c r="D37" s="111"/>
      <c r="E37" s="112"/>
      <c r="F37" s="112"/>
    </row>
    <row r="38" spans="1:11" x14ac:dyDescent="0.2">
      <c r="A38" t="s">
        <v>304</v>
      </c>
      <c r="B38" s="157">
        <f>E36</f>
        <v>41.475625000000001</v>
      </c>
      <c r="C38" s="111" t="s">
        <v>305</v>
      </c>
      <c r="D38" s="111"/>
      <c r="E38" s="111"/>
      <c r="F38" s="111"/>
      <c r="G38" s="111"/>
      <c r="H38" s="111"/>
      <c r="I38" s="111"/>
      <c r="J38" s="111"/>
      <c r="K38" s="111"/>
    </row>
    <row r="39" spans="1:11" ht="13.8" x14ac:dyDescent="0.3">
      <c r="A39" t="s">
        <v>312</v>
      </c>
      <c r="B39" s="157">
        <f>F36</f>
        <v>67.225000000000009</v>
      </c>
      <c r="C39" s="111" t="s">
        <v>307</v>
      </c>
      <c r="D39" s="141"/>
      <c r="E39" s="142"/>
      <c r="F39" s="111"/>
      <c r="G39" s="121"/>
      <c r="H39" s="153"/>
      <c r="I39" s="154"/>
      <c r="J39" s="105"/>
      <c r="K39" s="105"/>
    </row>
    <row r="40" spans="1:11" ht="13.8" x14ac:dyDescent="0.3">
      <c r="B40" s="104"/>
      <c r="C40" s="104"/>
      <c r="D40" s="160"/>
      <c r="E40" s="142"/>
      <c r="F40" s="111"/>
      <c r="G40" s="105"/>
      <c r="H40" s="155"/>
      <c r="I40" s="104"/>
      <c r="J40" s="105"/>
      <c r="K40" s="105"/>
    </row>
    <row r="41" spans="1:11" ht="13.8" x14ac:dyDescent="0.3">
      <c r="A41" s="120" t="s">
        <v>271</v>
      </c>
      <c r="B41" s="159"/>
      <c r="C41" s="142"/>
      <c r="D41" s="158"/>
      <c r="E41" s="143"/>
      <c r="F41" s="104"/>
      <c r="G41" s="105"/>
      <c r="H41" s="155"/>
      <c r="I41" s="104"/>
      <c r="J41" s="105"/>
      <c r="K41" s="105"/>
    </row>
    <row r="42" spans="1:11" ht="13.8" x14ac:dyDescent="0.3">
      <c r="A42" s="104"/>
      <c r="B42" s="123"/>
      <c r="C42" s="104"/>
      <c r="D42" s="104"/>
      <c r="E42" s="104"/>
      <c r="F42" s="104"/>
      <c r="G42" s="124"/>
      <c r="H42" s="156"/>
      <c r="I42" s="104"/>
      <c r="J42" s="105"/>
      <c r="K42" s="105"/>
    </row>
    <row r="43" spans="1:11" ht="13.8" x14ac:dyDescent="0.3">
      <c r="A43" t="s">
        <v>272</v>
      </c>
      <c r="B43" s="161" t="s">
        <v>273</v>
      </c>
      <c r="C43" t="s">
        <v>274</v>
      </c>
      <c r="D43" s="105"/>
      <c r="E43" s="105"/>
      <c r="F43" s="105"/>
      <c r="G43" s="124"/>
      <c r="H43" s="155"/>
      <c r="I43" s="105"/>
      <c r="J43" s="105"/>
      <c r="K43" s="105"/>
    </row>
    <row r="44" spans="1:11" ht="13.8" x14ac:dyDescent="0.3">
      <c r="A44" t="s">
        <v>315</v>
      </c>
      <c r="B44" s="137">
        <v>40</v>
      </c>
      <c r="C44" t="s">
        <v>277</v>
      </c>
      <c r="D44" s="105"/>
      <c r="E44" s="105"/>
      <c r="F44" s="105"/>
      <c r="G44" s="104"/>
      <c r="H44" s="155"/>
      <c r="I44" s="105"/>
      <c r="J44" s="105"/>
      <c r="K44" s="105"/>
    </row>
    <row r="45" spans="1:11" ht="13.8" x14ac:dyDescent="0.3">
      <c r="A45" t="s">
        <v>314</v>
      </c>
      <c r="B45" s="137">
        <v>500</v>
      </c>
      <c r="C45" t="s">
        <v>277</v>
      </c>
      <c r="D45" s="105"/>
      <c r="E45" s="105"/>
      <c r="F45" s="105"/>
      <c r="G45" s="105"/>
      <c r="H45" s="155"/>
      <c r="I45" s="105"/>
      <c r="J45" s="105"/>
      <c r="K45" s="105"/>
    </row>
    <row r="46" spans="1:11" ht="13.8" x14ac:dyDescent="0.3">
      <c r="A46" t="s">
        <v>313</v>
      </c>
      <c r="B46" s="137">
        <f>B38</f>
        <v>41.475625000000001</v>
      </c>
      <c r="C46" t="s">
        <v>12</v>
      </c>
      <c r="D46" s="105"/>
      <c r="E46" s="105"/>
      <c r="F46" s="105"/>
      <c r="G46" s="110"/>
      <c r="H46" s="155"/>
      <c r="I46" s="105"/>
      <c r="J46" s="105"/>
      <c r="K46" s="105"/>
    </row>
    <row r="47" spans="1:11" ht="13.8" x14ac:dyDescent="0.3">
      <c r="A47" t="s">
        <v>280</v>
      </c>
      <c r="B47" s="137">
        <v>1000</v>
      </c>
      <c r="C47" t="s">
        <v>10</v>
      </c>
      <c r="D47" s="105"/>
      <c r="E47" s="105"/>
      <c r="F47" s="105"/>
      <c r="G47" s="105"/>
      <c r="H47" s="126"/>
      <c r="I47" s="105"/>
      <c r="J47" s="105"/>
      <c r="K47" s="105"/>
    </row>
    <row r="48" spans="1:11" ht="13.8" x14ac:dyDescent="0.3">
      <c r="A48" t="s">
        <v>282</v>
      </c>
      <c r="B48" s="137">
        <v>200</v>
      </c>
      <c r="C48" t="s">
        <v>10</v>
      </c>
      <c r="D48" s="105"/>
      <c r="E48" s="105"/>
      <c r="F48" s="105"/>
      <c r="G48" s="105"/>
      <c r="H48" s="126"/>
      <c r="I48" s="105"/>
      <c r="J48" s="105"/>
      <c r="K48" s="105"/>
    </row>
    <row r="49" spans="1:11" ht="13.8" x14ac:dyDescent="0.3">
      <c r="A49" t="s">
        <v>283</v>
      </c>
      <c r="B49" s="137">
        <v>20</v>
      </c>
      <c r="C49" t="s">
        <v>10</v>
      </c>
      <c r="D49" t="s">
        <v>284</v>
      </c>
      <c r="F49" s="105"/>
      <c r="G49" s="127"/>
      <c r="H49" s="126"/>
      <c r="I49" s="105"/>
      <c r="J49" s="105"/>
      <c r="K49" s="105"/>
    </row>
    <row r="50" spans="1:11" ht="13.8" x14ac:dyDescent="0.3">
      <c r="A50" t="s">
        <v>286</v>
      </c>
      <c r="B50" s="137">
        <v>30</v>
      </c>
      <c r="C50" t="s">
        <v>10</v>
      </c>
      <c r="F50" s="105"/>
      <c r="G50" s="105"/>
      <c r="H50" s="105"/>
      <c r="I50" s="105"/>
      <c r="J50" s="105"/>
      <c r="K50" s="105"/>
    </row>
    <row r="51" spans="1:11" ht="13.8" x14ac:dyDescent="0.3">
      <c r="A51" t="s">
        <v>287</v>
      </c>
      <c r="B51" s="111">
        <f>B49+B50</f>
        <v>50</v>
      </c>
      <c r="C51" t="s">
        <v>10</v>
      </c>
      <c r="F51" s="105"/>
      <c r="G51" s="105"/>
      <c r="H51" s="105"/>
      <c r="I51" s="105"/>
      <c r="J51" s="105"/>
      <c r="K51" s="105"/>
    </row>
    <row r="52" spans="1:11" ht="13.8" x14ac:dyDescent="0.3">
      <c r="A52" t="s">
        <v>316</v>
      </c>
      <c r="B52" s="162">
        <v>16</v>
      </c>
      <c r="C52" t="s">
        <v>317</v>
      </c>
      <c r="D52" s="162">
        <v>150</v>
      </c>
      <c r="E52" t="s">
        <v>10</v>
      </c>
      <c r="F52" s="105" t="s">
        <v>318</v>
      </c>
      <c r="G52" s="105"/>
      <c r="H52" s="105"/>
      <c r="I52" s="105"/>
      <c r="J52" s="105"/>
      <c r="K52" s="105"/>
    </row>
    <row r="53" spans="1:11" ht="13.8" x14ac:dyDescent="0.3">
      <c r="A53" t="s">
        <v>288</v>
      </c>
      <c r="B53" s="111">
        <f>B48-B51-(B52/2)</f>
        <v>142</v>
      </c>
      <c r="C53" t="s">
        <v>10</v>
      </c>
      <c r="F53" s="105"/>
      <c r="G53" s="105"/>
      <c r="H53" s="105"/>
      <c r="I53" s="105"/>
      <c r="J53" s="105"/>
      <c r="K53" s="105"/>
    </row>
    <row r="54" spans="1:11" ht="13.8" x14ac:dyDescent="0.3">
      <c r="A54" t="s">
        <v>289</v>
      </c>
      <c r="B54" s="131">
        <f>0.97-0.0025*B44</f>
        <v>0.87</v>
      </c>
      <c r="C54" s="105"/>
      <c r="D54" t="s">
        <v>290</v>
      </c>
      <c r="F54" s="105"/>
      <c r="G54" s="105"/>
      <c r="H54" s="105"/>
      <c r="I54" s="105"/>
      <c r="J54" s="105"/>
      <c r="K54" s="105"/>
    </row>
    <row r="55" spans="1:11" ht="13.8" x14ac:dyDescent="0.3">
      <c r="A55" s="142"/>
      <c r="B55" s="142"/>
      <c r="C55" s="142"/>
      <c r="D55" s="142"/>
      <c r="E55" s="142"/>
      <c r="F55" s="111"/>
      <c r="G55" s="105"/>
      <c r="H55" s="105"/>
      <c r="I55" s="105"/>
      <c r="J55" s="105"/>
      <c r="K55" s="105"/>
    </row>
    <row r="56" spans="1:11" ht="13.8" x14ac:dyDescent="0.3">
      <c r="A56" s="104"/>
      <c r="B56" s="104"/>
      <c r="C56" s="104"/>
      <c r="D56" s="111"/>
      <c r="E56" s="142"/>
      <c r="F56" s="111"/>
      <c r="G56" s="105"/>
      <c r="H56" s="105"/>
      <c r="I56" s="105"/>
      <c r="J56" s="105"/>
      <c r="K56" s="105"/>
    </row>
    <row r="57" spans="1:11" ht="13.8" x14ac:dyDescent="0.3">
      <c r="A57" s="104"/>
      <c r="B57" s="122"/>
      <c r="C57" s="111"/>
      <c r="D57" s="104"/>
      <c r="E57" s="142"/>
      <c r="F57" s="111"/>
      <c r="G57" s="105"/>
      <c r="H57" s="105"/>
      <c r="I57" s="105"/>
      <c r="J57" s="105"/>
      <c r="K57" s="105"/>
    </row>
    <row r="58" spans="1:11" ht="13.8" x14ac:dyDescent="0.3">
      <c r="A58" s="104"/>
      <c r="B58" s="123"/>
      <c r="C58" s="104"/>
      <c r="D58" s="104"/>
      <c r="E58" s="142"/>
      <c r="F58" s="111"/>
      <c r="G58" s="105"/>
      <c r="H58" s="105"/>
      <c r="I58" s="105"/>
      <c r="J58" s="105"/>
      <c r="K58" s="105"/>
    </row>
    <row r="59" spans="1:11" ht="13.8" x14ac:dyDescent="0.3">
      <c r="A59" s="104"/>
      <c r="B59" s="104"/>
      <c r="C59" s="104"/>
      <c r="D59" s="104"/>
      <c r="E59" s="142"/>
      <c r="F59" s="111"/>
      <c r="G59" s="105"/>
      <c r="H59" s="105"/>
      <c r="I59" s="105"/>
      <c r="J59" s="105"/>
      <c r="K59" s="105"/>
    </row>
    <row r="60" spans="1:11" ht="13.8" x14ac:dyDescent="0.3">
      <c r="A60" t="s">
        <v>275</v>
      </c>
      <c r="B60" s="104"/>
      <c r="C60" s="104"/>
      <c r="D60" s="104"/>
      <c r="E60" s="142"/>
      <c r="F60" s="111"/>
      <c r="G60" s="105"/>
      <c r="H60" s="105"/>
      <c r="I60" s="105"/>
      <c r="J60" s="105"/>
      <c r="K60" s="105"/>
    </row>
    <row r="61" spans="1:11" ht="31.2" customHeight="1" x14ac:dyDescent="0.3">
      <c r="A61" s="104"/>
      <c r="B61" s="133">
        <f>((B46*10^6)/(B47*B53^2*B44))</f>
        <v>5.1422863767109701E-2</v>
      </c>
      <c r="C61" t="s">
        <v>276</v>
      </c>
      <c r="D61" s="104"/>
      <c r="E61" s="142"/>
      <c r="F61" s="111"/>
      <c r="G61" s="111"/>
      <c r="H61" s="111"/>
      <c r="I61" s="111"/>
      <c r="J61" s="111"/>
      <c r="K61" s="111"/>
    </row>
    <row r="62" spans="1:11" ht="13.8" x14ac:dyDescent="0.3">
      <c r="A62" t="s">
        <v>278</v>
      </c>
      <c r="D62" s="104"/>
      <c r="E62" s="104"/>
      <c r="F62" s="111"/>
      <c r="G62" s="111"/>
      <c r="H62" s="105"/>
      <c r="I62" s="105"/>
      <c r="J62" s="105"/>
      <c r="K62" s="105"/>
    </row>
    <row r="63" spans="1:11" ht="13.8" x14ac:dyDescent="0.3">
      <c r="A63" t="s">
        <v>279</v>
      </c>
      <c r="D63" s="104"/>
      <c r="E63" s="104"/>
      <c r="F63" s="111"/>
      <c r="G63" s="111"/>
      <c r="H63" s="111"/>
      <c r="I63" s="111"/>
      <c r="J63" s="111"/>
      <c r="K63" s="111"/>
    </row>
    <row r="64" spans="1:11" ht="13.8" x14ac:dyDescent="0.3">
      <c r="A64" t="s">
        <v>281</v>
      </c>
      <c r="B64" s="163">
        <f>0.87*B53</f>
        <v>123.54</v>
      </c>
      <c r="C64" t="s">
        <v>10</v>
      </c>
      <c r="D64" s="104"/>
      <c r="E64" s="105"/>
      <c r="F64" s="111"/>
      <c r="G64" s="111"/>
      <c r="H64" s="111"/>
      <c r="I64" s="111"/>
      <c r="J64" s="111"/>
      <c r="K64" s="111"/>
    </row>
    <row r="65" spans="1:11" ht="13.8" x14ac:dyDescent="0.3">
      <c r="D65" s="104"/>
      <c r="E65" s="142"/>
      <c r="F65" s="111"/>
      <c r="G65" s="111"/>
      <c r="H65" s="111"/>
      <c r="I65" s="111"/>
      <c r="J65" s="111"/>
      <c r="K65" s="111"/>
    </row>
    <row r="66" spans="1:11" ht="14.4" x14ac:dyDescent="0.3">
      <c r="A66" t="s">
        <v>285</v>
      </c>
      <c r="D66" s="111"/>
      <c r="E66" s="151"/>
      <c r="F66" s="132"/>
      <c r="G66" s="111"/>
      <c r="H66" s="111"/>
      <c r="I66" s="111"/>
      <c r="J66" s="111"/>
      <c r="K66" s="111"/>
    </row>
    <row r="67" spans="1:11" ht="29.4" customHeight="1" x14ac:dyDescent="0.2">
      <c r="A67" s="111"/>
      <c r="B67" s="163">
        <f>((B46*10^6)/(B54*B45*B64))</f>
        <v>771.78455858682275</v>
      </c>
      <c r="C67" t="s">
        <v>319</v>
      </c>
      <c r="D67" s="111"/>
    </row>
    <row r="68" spans="1:11" x14ac:dyDescent="0.2">
      <c r="A68" t="s">
        <v>320</v>
      </c>
      <c r="D68" s="111"/>
    </row>
    <row r="69" spans="1:11" ht="33" customHeight="1" x14ac:dyDescent="0.2">
      <c r="B69" s="163">
        <f>((PI()*B52^2)/4)*(B47/D52)</f>
        <v>1340.4128655316451</v>
      </c>
      <c r="C69" t="s">
        <v>319</v>
      </c>
    </row>
    <row r="71" spans="1:11" ht="13.8" x14ac:dyDescent="0.3">
      <c r="A71" s="128" t="str">
        <f>IF(B67&lt;B69,"Adequate","Not adequate")</f>
        <v>Adequate</v>
      </c>
      <c r="B71" t="str">
        <f>IF(B66&lt;B69," since required reinforcement area is less than provided reinforcement area"," since required reinforcement area is more than provided reinforcement area.")</f>
        <v xml:space="preserve"> since required reinforcement area is less than provided reinforcement area</v>
      </c>
    </row>
    <row r="73" spans="1:11" ht="13.8" x14ac:dyDescent="0.3">
      <c r="A73" s="120" t="s">
        <v>291</v>
      </c>
    </row>
    <row r="75" spans="1:11" x14ac:dyDescent="0.2">
      <c r="A75" s="111" t="s">
        <v>292</v>
      </c>
      <c r="B75" s="111">
        <f>B53</f>
        <v>142</v>
      </c>
      <c r="C75" s="111" t="s">
        <v>10</v>
      </c>
    </row>
    <row r="76" spans="1:11" ht="13.8" x14ac:dyDescent="0.3">
      <c r="A76" s="129" t="s">
        <v>293</v>
      </c>
      <c r="B76" s="130">
        <v>0.79</v>
      </c>
    </row>
    <row r="77" spans="1:11" ht="13.8" x14ac:dyDescent="0.3">
      <c r="A77" s="129" t="s">
        <v>289</v>
      </c>
      <c r="B77" s="130">
        <v>0.87</v>
      </c>
    </row>
    <row r="79" spans="1:11" ht="16.95" customHeight="1" x14ac:dyDescent="0.2"/>
    <row r="80" spans="1:11" ht="18.600000000000001" customHeight="1" x14ac:dyDescent="0.2"/>
    <row r="81" spans="1:3" ht="38.4" customHeight="1" x14ac:dyDescent="0.2">
      <c r="B81" s="131">
        <f>(B45*B69)/(B76*B77*B44*B47)</f>
        <v>24.378234859807311</v>
      </c>
      <c r="C81" s="111" t="s">
        <v>10</v>
      </c>
    </row>
    <row r="82" spans="1:3" ht="28.95" customHeight="1" x14ac:dyDescent="0.2">
      <c r="B82" s="117">
        <f>B81/B75</f>
        <v>0.17167771028033318</v>
      </c>
    </row>
    <row r="83" spans="1:3" x14ac:dyDescent="0.2">
      <c r="A83" s="111" t="str">
        <f>IF(B82&lt;0.36,"Compression reinforcement not required","Compression reinforcement required")</f>
        <v>Compression reinforcement not required</v>
      </c>
    </row>
    <row r="84" spans="1:3" ht="13.8" x14ac:dyDescent="0.3">
      <c r="A84" s="111" t="s">
        <v>294</v>
      </c>
      <c r="B84" s="130">
        <v>0.85</v>
      </c>
    </row>
    <row r="85" spans="1:3" ht="35.4" customHeight="1" x14ac:dyDescent="0.2">
      <c r="B85" s="111">
        <f>B84*(B45*B69)*(B75-((B77*B81)/2))*10^-6</f>
        <v>74.852774612958441</v>
      </c>
      <c r="C85" s="111" t="s">
        <v>305</v>
      </c>
    </row>
    <row r="86" spans="1:3" x14ac:dyDescent="0.2">
      <c r="A86" s="111" t="str">
        <f>IF(B85&gt;B46,"Since, Muo &gt; M*, Okay","Since, Muo &lt; M*, Not Okay")</f>
        <v>Since, Muo &gt; M*, Okay</v>
      </c>
    </row>
    <row r="87" spans="1:3" ht="14.4" x14ac:dyDescent="0.3">
      <c r="A87" s="132" t="str">
        <f>IF(B85&gt;H63,"")</f>
        <v/>
      </c>
    </row>
  </sheetData>
  <mergeCells count="1">
    <mergeCell ref="D16:D18"/>
  </mergeCells>
  <conditionalFormatting sqref="A71">
    <cfRule type="expression" dxfId="35" priority="3">
      <formula>$B$42&lt;$B$45</formula>
    </cfRule>
    <cfRule type="expression" dxfId="34" priority="4">
      <formula>$B$42&lt;$B$45</formula>
    </cfRule>
    <cfRule type="expression" dxfId="33" priority="5">
      <formula>"B37&lt;B40"</formula>
    </cfRule>
  </conditionalFormatting>
  <conditionalFormatting sqref="A83">
    <cfRule type="expression" dxfId="32" priority="2">
      <formula>$B$56&lt;0.36</formula>
    </cfRule>
  </conditionalFormatting>
  <conditionalFormatting sqref="A86">
    <cfRule type="expression" dxfId="31" priority="1">
      <formula>$B$59&gt;$H$37</formula>
    </cfRule>
  </conditionalFormatting>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rowBreaks count="1" manualBreakCount="1">
    <brk id="59" max="6" man="1"/>
  </rowBreaks>
  <drawing r:id="rId2"/>
  <legacyDrawing r:id="rId3"/>
  <legacyDrawingHF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F174-4010-4FF4-9A82-7A7A26FC7083}">
  <sheetPr codeName="Sheet11">
    <tabColor rgb="FF353D30"/>
  </sheetPr>
  <dimension ref="A1:M87"/>
  <sheetViews>
    <sheetView view="pageBreakPreview" topLeftCell="A47" zoomScaleNormal="100" zoomScaleSheetLayoutView="100" workbookViewId="0"/>
  </sheetViews>
  <sheetFormatPr defaultColWidth="8.7109375" defaultRowHeight="10.199999999999999" x14ac:dyDescent="0.2"/>
  <cols>
    <col min="1" max="1" width="41.28515625" customWidth="1"/>
    <col min="2" max="2" width="18.7109375" customWidth="1"/>
    <col min="3" max="3" width="12.28515625" customWidth="1"/>
    <col min="4" max="4" width="14" customWidth="1"/>
  </cols>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35" t="s">
        <v>295</v>
      </c>
      <c r="B6" s="136" t="s">
        <v>326</v>
      </c>
      <c r="C6" s="135"/>
      <c r="D6" s="135"/>
      <c r="E6" s="10"/>
      <c r="F6" s="10"/>
      <c r="G6" s="10"/>
      <c r="H6" s="10"/>
      <c r="I6" s="10"/>
      <c r="J6" s="10"/>
      <c r="K6" s="10"/>
      <c r="L6" s="10"/>
      <c r="M6" s="10"/>
    </row>
    <row r="7" spans="1:13" s="11" customFormat="1" x14ac:dyDescent="0.2">
      <c r="A7" t="s">
        <v>299</v>
      </c>
      <c r="B7" s="137">
        <v>2.1</v>
      </c>
      <c r="C7" t="s">
        <v>106</v>
      </c>
      <c r="D7"/>
    </row>
    <row r="8" spans="1:13" s="11" customFormat="1" ht="11.4" x14ac:dyDescent="0.2">
      <c r="A8" t="s">
        <v>245</v>
      </c>
      <c r="B8" s="137">
        <v>20</v>
      </c>
      <c r="C8" t="s">
        <v>296</v>
      </c>
      <c r="D8"/>
    </row>
    <row r="9" spans="1:13" x14ac:dyDescent="0.2">
      <c r="A9" t="s">
        <v>246</v>
      </c>
      <c r="B9" s="137">
        <v>30</v>
      </c>
      <c r="C9" t="s">
        <v>247</v>
      </c>
    </row>
    <row r="10" spans="1:13" x14ac:dyDescent="0.2">
      <c r="A10" t="s">
        <v>248</v>
      </c>
      <c r="B10" s="137">
        <f>B7+0.3</f>
        <v>2.4</v>
      </c>
      <c r="C10" t="s">
        <v>106</v>
      </c>
    </row>
    <row r="11" spans="1:13" x14ac:dyDescent="0.2">
      <c r="A11" t="s">
        <v>249</v>
      </c>
      <c r="B11" s="138">
        <f>(1-SIN(RADIANS(B9)))/(1+SIN(RADIANS(B9)))</f>
        <v>0.33333333333333331</v>
      </c>
    </row>
    <row r="12" spans="1:13" ht="14.4" x14ac:dyDescent="0.3">
      <c r="A12" s="113" t="s">
        <v>250</v>
      </c>
      <c r="B12" s="138"/>
    </row>
    <row r="13" spans="1:13" x14ac:dyDescent="0.2">
      <c r="A13" s="111"/>
      <c r="B13" s="138">
        <f>0.5*B11*B8*B10^2</f>
        <v>19.2</v>
      </c>
      <c r="C13" t="s">
        <v>301</v>
      </c>
      <c r="E13" t="s">
        <v>276</v>
      </c>
    </row>
    <row r="14" spans="1:13" ht="13.8" x14ac:dyDescent="0.3">
      <c r="A14" s="139" t="s">
        <v>251</v>
      </c>
      <c r="B14" s="138"/>
      <c r="C14" s="114" t="s">
        <v>252</v>
      </c>
      <c r="D14" s="111"/>
    </row>
    <row r="15" spans="1:13" x14ac:dyDescent="0.2">
      <c r="A15" s="115" t="str">
        <f>B6</f>
        <v>MCR 2.1m Liner Depth, Rectangular Pit TC2476U</v>
      </c>
      <c r="B15" s="138"/>
      <c r="C15" s="111"/>
      <c r="D15" s="111"/>
    </row>
    <row r="16" spans="1:13" ht="10.199999999999999" customHeight="1" x14ac:dyDescent="0.2">
      <c r="A16" t="s">
        <v>297</v>
      </c>
      <c r="B16" s="137">
        <v>1.57</v>
      </c>
      <c r="C16" t="s">
        <v>106</v>
      </c>
      <c r="D16" s="242" t="s">
        <v>253</v>
      </c>
    </row>
    <row r="17" spans="1:6" x14ac:dyDescent="0.2">
      <c r="A17" t="s">
        <v>298</v>
      </c>
      <c r="B17" s="137">
        <v>0.5</v>
      </c>
      <c r="C17" t="s">
        <v>106</v>
      </c>
      <c r="D17" s="242"/>
    </row>
    <row r="18" spans="1:6" x14ac:dyDescent="0.2">
      <c r="A18" t="s">
        <v>254</v>
      </c>
      <c r="B18" s="137">
        <v>61</v>
      </c>
      <c r="C18" t="s">
        <v>255</v>
      </c>
      <c r="D18" s="242"/>
      <c r="E18" s="97" t="s">
        <v>300</v>
      </c>
    </row>
    <row r="19" spans="1:6" x14ac:dyDescent="0.2">
      <c r="A19" t="s">
        <v>256</v>
      </c>
      <c r="B19" s="140">
        <v>1.64</v>
      </c>
      <c r="C19" t="s">
        <v>106</v>
      </c>
      <c r="D19" s="111"/>
    </row>
    <row r="20" spans="1:6" x14ac:dyDescent="0.2">
      <c r="A20" t="s">
        <v>259</v>
      </c>
      <c r="B20" s="138">
        <f>B11*B18*B19</f>
        <v>33.346666666666664</v>
      </c>
      <c r="C20" t="s">
        <v>301</v>
      </c>
      <c r="D20" s="111"/>
    </row>
    <row r="21" spans="1:6" x14ac:dyDescent="0.2">
      <c r="B21" s="111"/>
      <c r="D21" s="111"/>
    </row>
    <row r="22" spans="1:6" ht="12" x14ac:dyDescent="0.2">
      <c r="A22" s="139" t="s">
        <v>257</v>
      </c>
      <c r="B22" s="111"/>
      <c r="D22" s="111"/>
    </row>
    <row r="23" spans="1:6" x14ac:dyDescent="0.2">
      <c r="A23" t="s">
        <v>258</v>
      </c>
      <c r="B23" s="137">
        <v>0</v>
      </c>
      <c r="C23" t="s">
        <v>255</v>
      </c>
      <c r="D23" s="111"/>
    </row>
    <row r="24" spans="1:6" x14ac:dyDescent="0.2">
      <c r="A24" t="s">
        <v>259</v>
      </c>
      <c r="B24" s="138">
        <f>B11*B23*B10</f>
        <v>0</v>
      </c>
      <c r="C24" t="s">
        <v>301</v>
      </c>
      <c r="D24" s="111"/>
    </row>
    <row r="25" spans="1:6" x14ac:dyDescent="0.2">
      <c r="B25" s="111"/>
      <c r="D25" s="111"/>
    </row>
    <row r="26" spans="1:6" ht="12" x14ac:dyDescent="0.2">
      <c r="A26" s="139" t="s">
        <v>260</v>
      </c>
      <c r="B26" s="111"/>
      <c r="D26" s="111"/>
    </row>
    <row r="27" spans="1:6" ht="11.4" x14ac:dyDescent="0.2">
      <c r="A27" t="s">
        <v>261</v>
      </c>
      <c r="B27" s="116">
        <v>10</v>
      </c>
      <c r="C27" t="s">
        <v>296</v>
      </c>
      <c r="D27" s="111"/>
    </row>
    <row r="28" spans="1:6" x14ac:dyDescent="0.2">
      <c r="A28" t="s">
        <v>248</v>
      </c>
      <c r="B28" s="117">
        <f>B10</f>
        <v>2.4</v>
      </c>
      <c r="C28" t="s">
        <v>106</v>
      </c>
      <c r="D28" s="111"/>
    </row>
    <row r="29" spans="1:6" x14ac:dyDescent="0.2">
      <c r="A29" t="s">
        <v>262</v>
      </c>
      <c r="B29" s="111">
        <f>0.5*B27*B28^2*B11</f>
        <v>9.5999999999999979</v>
      </c>
      <c r="C29" t="s">
        <v>301</v>
      </c>
      <c r="D29" s="111"/>
    </row>
    <row r="31" spans="1:6" ht="30.6" x14ac:dyDescent="0.2">
      <c r="A31" s="112" t="s">
        <v>263</v>
      </c>
      <c r="B31" s="112" t="s">
        <v>301</v>
      </c>
      <c r="C31" s="112" t="s">
        <v>264</v>
      </c>
      <c r="D31" s="118" t="s">
        <v>265</v>
      </c>
      <c r="E31" s="119" t="s">
        <v>302</v>
      </c>
      <c r="F31" s="119" t="s">
        <v>303</v>
      </c>
    </row>
    <row r="32" spans="1:6" x14ac:dyDescent="0.2">
      <c r="A32" s="112" t="s">
        <v>266</v>
      </c>
      <c r="B32" s="112">
        <f>B13</f>
        <v>19.2</v>
      </c>
      <c r="C32" s="112">
        <f>(1/3)*B10</f>
        <v>0.79999999999999993</v>
      </c>
      <c r="D32" s="116">
        <v>1.5</v>
      </c>
      <c r="E32" s="112">
        <f>B32*C32*D32</f>
        <v>23.039999999999996</v>
      </c>
      <c r="F32" s="112">
        <f>B32*D32</f>
        <v>28.799999999999997</v>
      </c>
    </row>
    <row r="33" spans="1:11" x14ac:dyDescent="0.2">
      <c r="A33" s="112" t="s">
        <v>267</v>
      </c>
      <c r="B33" s="112">
        <f>B20</f>
        <v>33.346666666666664</v>
      </c>
      <c r="C33" s="112">
        <f>0.5*B19</f>
        <v>0.82</v>
      </c>
      <c r="D33" s="116">
        <v>1.5</v>
      </c>
      <c r="E33" s="112">
        <f t="shared" ref="E33:E35" si="0">B33*C33*D33</f>
        <v>41.01639999999999</v>
      </c>
      <c r="F33" s="112">
        <f t="shared" ref="F33:F35" si="1">B33*D33</f>
        <v>50.019999999999996</v>
      </c>
    </row>
    <row r="34" spans="1:11" x14ac:dyDescent="0.2">
      <c r="A34" s="112" t="s">
        <v>268</v>
      </c>
      <c r="B34" s="112">
        <f>B29</f>
        <v>9.5999999999999979</v>
      </c>
      <c r="C34" s="112">
        <f>(1/3)*B28</f>
        <v>0.79999999999999993</v>
      </c>
      <c r="D34" s="116">
        <v>1</v>
      </c>
      <c r="E34" s="112">
        <f t="shared" si="0"/>
        <v>7.6799999999999979</v>
      </c>
      <c r="F34" s="112">
        <f t="shared" si="1"/>
        <v>9.5999999999999979</v>
      </c>
    </row>
    <row r="35" spans="1:11" x14ac:dyDescent="0.2">
      <c r="A35" s="112" t="s">
        <v>269</v>
      </c>
      <c r="B35" s="112">
        <f>B24</f>
        <v>0</v>
      </c>
      <c r="C35" s="112">
        <f>0.5*B10</f>
        <v>1.2</v>
      </c>
      <c r="D35" s="116">
        <v>1.5</v>
      </c>
      <c r="E35" s="112">
        <f t="shared" si="0"/>
        <v>0</v>
      </c>
      <c r="F35" s="112">
        <f t="shared" si="1"/>
        <v>0</v>
      </c>
    </row>
    <row r="36" spans="1:11" x14ac:dyDescent="0.2">
      <c r="A36" s="112" t="s">
        <v>270</v>
      </c>
      <c r="B36" s="112">
        <f>SUM(B32:B35)</f>
        <v>62.146666666666661</v>
      </c>
      <c r="C36" s="112"/>
      <c r="D36" s="112"/>
      <c r="E36" s="112">
        <f>SUM(E32:E35)</f>
        <v>71.736399999999975</v>
      </c>
      <c r="F36" s="112">
        <f>SUM(F32:F35)</f>
        <v>88.419999999999987</v>
      </c>
    </row>
    <row r="37" spans="1:11" x14ac:dyDescent="0.2">
      <c r="A37" s="111"/>
      <c r="B37" s="111"/>
      <c r="C37" s="111"/>
      <c r="D37" s="111"/>
      <c r="E37" s="112"/>
      <c r="F37" s="112"/>
    </row>
    <row r="38" spans="1:11" x14ac:dyDescent="0.2">
      <c r="A38" t="s">
        <v>304</v>
      </c>
      <c r="B38" s="157">
        <f>E36</f>
        <v>71.736399999999975</v>
      </c>
      <c r="C38" s="111" t="s">
        <v>305</v>
      </c>
      <c r="D38" s="111"/>
      <c r="E38" s="111"/>
      <c r="F38" s="111"/>
      <c r="G38" s="111"/>
      <c r="H38" s="111"/>
      <c r="I38" s="111"/>
      <c r="J38" s="111"/>
      <c r="K38" s="111"/>
    </row>
    <row r="39" spans="1:11" ht="13.8" x14ac:dyDescent="0.3">
      <c r="A39" t="s">
        <v>312</v>
      </c>
      <c r="B39" s="157">
        <f>F36</f>
        <v>88.419999999999987</v>
      </c>
      <c r="C39" s="111" t="s">
        <v>307</v>
      </c>
      <c r="D39" s="141"/>
      <c r="E39" s="142"/>
      <c r="F39" s="111"/>
      <c r="G39" s="121"/>
      <c r="H39" s="153"/>
      <c r="I39" s="154"/>
      <c r="J39" s="105"/>
      <c r="K39" s="105"/>
    </row>
    <row r="40" spans="1:11" ht="13.8" x14ac:dyDescent="0.3">
      <c r="B40" s="104"/>
      <c r="C40" s="104"/>
      <c r="D40" s="160"/>
      <c r="E40" s="142"/>
      <c r="F40" s="111"/>
      <c r="G40" s="105"/>
      <c r="H40" s="155"/>
      <c r="I40" s="104"/>
      <c r="J40" s="105"/>
      <c r="K40" s="105"/>
    </row>
    <row r="41" spans="1:11" ht="13.8" x14ac:dyDescent="0.3">
      <c r="A41" s="120" t="s">
        <v>271</v>
      </c>
      <c r="B41" s="159"/>
      <c r="C41" s="142"/>
      <c r="D41" s="158"/>
      <c r="E41" s="143"/>
      <c r="F41" s="104"/>
      <c r="G41" s="105"/>
      <c r="H41" s="155"/>
      <c r="I41" s="104"/>
      <c r="J41" s="105"/>
      <c r="K41" s="105"/>
    </row>
    <row r="42" spans="1:11" ht="13.8" x14ac:dyDescent="0.3">
      <c r="A42" s="104"/>
      <c r="B42" s="123"/>
      <c r="C42" s="104"/>
      <c r="D42" s="104"/>
      <c r="E42" s="104"/>
      <c r="F42" s="104"/>
      <c r="G42" s="124"/>
      <c r="H42" s="156"/>
      <c r="I42" s="104"/>
      <c r="J42" s="105"/>
      <c r="K42" s="105"/>
    </row>
    <row r="43" spans="1:11" ht="13.8" x14ac:dyDescent="0.3">
      <c r="A43" t="s">
        <v>272</v>
      </c>
      <c r="B43" s="161" t="s">
        <v>273</v>
      </c>
      <c r="C43" t="s">
        <v>274</v>
      </c>
      <c r="D43" s="105"/>
      <c r="E43" s="105"/>
      <c r="F43" s="105"/>
      <c r="G43" s="124"/>
      <c r="H43" s="155"/>
      <c r="I43" s="105"/>
      <c r="J43" s="105"/>
      <c r="K43" s="105"/>
    </row>
    <row r="44" spans="1:11" ht="13.8" x14ac:dyDescent="0.3">
      <c r="A44" t="s">
        <v>315</v>
      </c>
      <c r="B44" s="137">
        <v>40</v>
      </c>
      <c r="C44" t="s">
        <v>277</v>
      </c>
      <c r="D44" s="105"/>
      <c r="E44" s="105"/>
      <c r="F44" s="105"/>
      <c r="G44" s="104"/>
      <c r="H44" s="155"/>
      <c r="I44" s="105"/>
      <c r="J44" s="105"/>
      <c r="K44" s="105"/>
    </row>
    <row r="45" spans="1:11" ht="13.8" x14ac:dyDescent="0.3">
      <c r="A45" t="s">
        <v>314</v>
      </c>
      <c r="B45" s="137">
        <v>500</v>
      </c>
      <c r="C45" t="s">
        <v>277</v>
      </c>
      <c r="D45" s="105"/>
      <c r="E45" s="105"/>
      <c r="F45" s="105"/>
      <c r="G45" s="105"/>
      <c r="H45" s="155"/>
      <c r="I45" s="105"/>
      <c r="J45" s="105"/>
      <c r="K45" s="105"/>
    </row>
    <row r="46" spans="1:11" ht="13.8" x14ac:dyDescent="0.3">
      <c r="A46" t="s">
        <v>313</v>
      </c>
      <c r="B46" s="137">
        <f>B38</f>
        <v>71.736399999999975</v>
      </c>
      <c r="C46" t="s">
        <v>12</v>
      </c>
      <c r="D46" s="105"/>
      <c r="E46" s="105"/>
      <c r="F46" s="105"/>
      <c r="G46" s="110"/>
      <c r="H46" s="155"/>
      <c r="I46" s="105"/>
      <c r="J46" s="105"/>
      <c r="K46" s="105"/>
    </row>
    <row r="47" spans="1:11" ht="13.8" x14ac:dyDescent="0.3">
      <c r="A47" t="s">
        <v>280</v>
      </c>
      <c r="B47" s="137">
        <v>1000</v>
      </c>
      <c r="C47" t="s">
        <v>10</v>
      </c>
      <c r="D47" s="105"/>
      <c r="E47" s="105"/>
      <c r="F47" s="105"/>
      <c r="G47" s="105"/>
      <c r="H47" s="126"/>
      <c r="I47" s="105"/>
      <c r="J47" s="105"/>
      <c r="K47" s="105"/>
    </row>
    <row r="48" spans="1:11" ht="13.8" x14ac:dyDescent="0.3">
      <c r="A48" t="s">
        <v>282</v>
      </c>
      <c r="B48" s="137">
        <v>200</v>
      </c>
      <c r="C48" t="s">
        <v>10</v>
      </c>
      <c r="D48" s="105"/>
      <c r="E48" s="105"/>
      <c r="F48" s="105"/>
      <c r="G48" s="105"/>
      <c r="H48" s="126"/>
      <c r="I48" s="105"/>
      <c r="J48" s="105"/>
      <c r="K48" s="105"/>
    </row>
    <row r="49" spans="1:11" ht="13.8" x14ac:dyDescent="0.3">
      <c r="A49" t="s">
        <v>283</v>
      </c>
      <c r="B49" s="137">
        <v>20</v>
      </c>
      <c r="C49" t="s">
        <v>10</v>
      </c>
      <c r="D49" t="s">
        <v>284</v>
      </c>
      <c r="F49" s="105"/>
      <c r="G49" s="127"/>
      <c r="H49" s="126"/>
      <c r="I49" s="105"/>
      <c r="J49" s="105"/>
      <c r="K49" s="105"/>
    </row>
    <row r="50" spans="1:11" ht="13.8" x14ac:dyDescent="0.3">
      <c r="A50" t="s">
        <v>286</v>
      </c>
      <c r="B50" s="137">
        <v>30</v>
      </c>
      <c r="C50" t="s">
        <v>10</v>
      </c>
      <c r="F50" s="105"/>
      <c r="G50" s="105"/>
      <c r="H50" s="105"/>
      <c r="I50" s="105"/>
      <c r="J50" s="105"/>
      <c r="K50" s="105"/>
    </row>
    <row r="51" spans="1:11" ht="13.8" x14ac:dyDescent="0.3">
      <c r="A51" t="s">
        <v>287</v>
      </c>
      <c r="B51" s="111">
        <f>B49+B50</f>
        <v>50</v>
      </c>
      <c r="C51" t="s">
        <v>10</v>
      </c>
      <c r="F51" s="105"/>
      <c r="G51" s="105"/>
      <c r="H51" s="105"/>
      <c r="I51" s="105"/>
      <c r="J51" s="105"/>
      <c r="K51" s="105"/>
    </row>
    <row r="52" spans="1:11" ht="13.8" x14ac:dyDescent="0.3">
      <c r="A52" t="s">
        <v>316</v>
      </c>
      <c r="B52" s="162">
        <v>16</v>
      </c>
      <c r="C52" t="s">
        <v>317</v>
      </c>
      <c r="D52" s="162">
        <v>125</v>
      </c>
      <c r="E52" t="s">
        <v>10</v>
      </c>
      <c r="F52" s="105" t="s">
        <v>318</v>
      </c>
      <c r="G52" s="105"/>
      <c r="H52" s="105"/>
      <c r="I52" s="105"/>
      <c r="J52" s="105"/>
      <c r="K52" s="105"/>
    </row>
    <row r="53" spans="1:11" ht="13.8" x14ac:dyDescent="0.3">
      <c r="A53" t="s">
        <v>288</v>
      </c>
      <c r="B53" s="111">
        <f>B48-B51-(B52/2)</f>
        <v>142</v>
      </c>
      <c r="C53" t="s">
        <v>10</v>
      </c>
      <c r="F53" s="105"/>
      <c r="G53" s="105"/>
      <c r="H53" s="105"/>
      <c r="I53" s="105"/>
      <c r="J53" s="105"/>
      <c r="K53" s="105"/>
    </row>
    <row r="54" spans="1:11" ht="13.8" x14ac:dyDescent="0.3">
      <c r="A54" t="s">
        <v>289</v>
      </c>
      <c r="B54" s="131">
        <f>0.97-0.0025*B44</f>
        <v>0.87</v>
      </c>
      <c r="C54" s="105"/>
      <c r="D54" t="s">
        <v>290</v>
      </c>
      <c r="F54" s="105"/>
      <c r="G54" s="105"/>
      <c r="H54" s="105"/>
      <c r="I54" s="105"/>
      <c r="J54" s="105"/>
      <c r="K54" s="105"/>
    </row>
    <row r="55" spans="1:11" ht="13.8" x14ac:dyDescent="0.3">
      <c r="A55" s="142"/>
      <c r="B55" s="142"/>
      <c r="C55" s="142"/>
      <c r="D55" s="142"/>
      <c r="E55" s="142"/>
      <c r="F55" s="111"/>
      <c r="G55" s="105"/>
      <c r="H55" s="105"/>
      <c r="I55" s="105"/>
      <c r="J55" s="105"/>
      <c r="K55" s="105"/>
    </row>
    <row r="56" spans="1:11" ht="13.8" x14ac:dyDescent="0.3">
      <c r="A56" s="104"/>
      <c r="B56" s="104"/>
      <c r="C56" s="104"/>
      <c r="D56" s="111"/>
      <c r="E56" s="142"/>
      <c r="F56" s="111"/>
      <c r="G56" s="105"/>
      <c r="H56" s="105"/>
      <c r="I56" s="105"/>
      <c r="J56" s="105"/>
      <c r="K56" s="105"/>
    </row>
    <row r="57" spans="1:11" ht="13.8" x14ac:dyDescent="0.3">
      <c r="A57" s="104"/>
      <c r="B57" s="122"/>
      <c r="C57" s="111"/>
      <c r="D57" s="104"/>
      <c r="E57" s="142"/>
      <c r="F57" s="111"/>
      <c r="G57" s="105"/>
      <c r="H57" s="105"/>
      <c r="I57" s="105"/>
      <c r="J57" s="105"/>
      <c r="K57" s="105"/>
    </row>
    <row r="58" spans="1:11" ht="13.8" x14ac:dyDescent="0.3">
      <c r="A58" s="104"/>
      <c r="B58" s="123"/>
      <c r="C58" s="104"/>
      <c r="D58" s="104"/>
      <c r="E58" s="142"/>
      <c r="F58" s="111"/>
      <c r="G58" s="105"/>
      <c r="H58" s="105"/>
      <c r="I58" s="105"/>
      <c r="J58" s="105"/>
      <c r="K58" s="105"/>
    </row>
    <row r="59" spans="1:11" ht="13.8" x14ac:dyDescent="0.3">
      <c r="A59" s="104"/>
      <c r="B59" s="104"/>
      <c r="C59" s="104"/>
      <c r="D59" s="104"/>
      <c r="E59" s="142"/>
      <c r="F59" s="111"/>
      <c r="G59" s="105"/>
      <c r="H59" s="105"/>
      <c r="I59" s="105"/>
      <c r="J59" s="105"/>
      <c r="K59" s="105"/>
    </row>
    <row r="60" spans="1:11" ht="13.8" x14ac:dyDescent="0.3">
      <c r="A60" t="s">
        <v>275</v>
      </c>
      <c r="B60" s="104"/>
      <c r="C60" s="104"/>
      <c r="D60" s="104"/>
      <c r="E60" s="142"/>
      <c r="F60" s="111"/>
      <c r="G60" s="105"/>
      <c r="H60" s="105"/>
      <c r="I60" s="105"/>
      <c r="J60" s="105"/>
      <c r="K60" s="105"/>
    </row>
    <row r="61" spans="1:11" ht="31.2" customHeight="1" x14ac:dyDescent="0.3">
      <c r="A61" s="104"/>
      <c r="B61" s="133">
        <f>((B46*10^6)/(B47*B53^2*B44))</f>
        <v>8.8941182305098163E-2</v>
      </c>
      <c r="C61" t="s">
        <v>276</v>
      </c>
      <c r="D61" s="104"/>
      <c r="E61" s="142"/>
      <c r="F61" s="111"/>
      <c r="G61" s="111"/>
      <c r="H61" s="111"/>
      <c r="I61" s="111"/>
      <c r="J61" s="111"/>
      <c r="K61" s="111"/>
    </row>
    <row r="62" spans="1:11" ht="13.8" x14ac:dyDescent="0.3">
      <c r="A62" t="s">
        <v>278</v>
      </c>
      <c r="D62" s="104"/>
      <c r="E62" s="104"/>
      <c r="F62" s="111"/>
      <c r="G62" s="111"/>
      <c r="H62" s="105"/>
      <c r="I62" s="105"/>
      <c r="J62" s="105"/>
      <c r="K62" s="105"/>
    </row>
    <row r="63" spans="1:11" ht="13.8" x14ac:dyDescent="0.3">
      <c r="A63" t="s">
        <v>279</v>
      </c>
      <c r="D63" s="104"/>
      <c r="E63" s="104"/>
      <c r="F63" s="111"/>
      <c r="G63" s="111"/>
      <c r="H63" s="111"/>
      <c r="I63" s="111"/>
      <c r="J63" s="111"/>
      <c r="K63" s="111"/>
    </row>
    <row r="64" spans="1:11" ht="13.8" x14ac:dyDescent="0.3">
      <c r="A64" t="s">
        <v>281</v>
      </c>
      <c r="B64" s="163">
        <f>0.87*B53</f>
        <v>123.54</v>
      </c>
      <c r="C64" t="s">
        <v>10</v>
      </c>
      <c r="D64" s="104"/>
      <c r="E64" s="105"/>
      <c r="F64" s="111"/>
      <c r="G64" s="111"/>
      <c r="H64" s="111"/>
      <c r="I64" s="111"/>
      <c r="J64" s="111"/>
      <c r="K64" s="111"/>
    </row>
    <row r="65" spans="1:11" ht="13.8" x14ac:dyDescent="0.3">
      <c r="D65" s="104"/>
      <c r="E65" s="142"/>
      <c r="F65" s="111"/>
      <c r="G65" s="111"/>
      <c r="H65" s="111"/>
      <c r="I65" s="111"/>
      <c r="J65" s="111"/>
      <c r="K65" s="111"/>
    </row>
    <row r="66" spans="1:11" ht="14.4" x14ac:dyDescent="0.3">
      <c r="A66" t="s">
        <v>285</v>
      </c>
      <c r="D66" s="111"/>
      <c r="E66" s="151"/>
      <c r="F66" s="132"/>
      <c r="G66" s="111"/>
      <c r="H66" s="111"/>
      <c r="I66" s="111"/>
      <c r="J66" s="111"/>
      <c r="K66" s="111"/>
    </row>
    <row r="67" spans="1:11" ht="29.4" customHeight="1" x14ac:dyDescent="0.2">
      <c r="A67" s="111"/>
      <c r="B67" s="163">
        <f>((B46*10^6)/(B54*B45*B64))</f>
        <v>1334.8815312272625</v>
      </c>
      <c r="C67" t="s">
        <v>319</v>
      </c>
      <c r="D67" s="111"/>
    </row>
    <row r="68" spans="1:11" x14ac:dyDescent="0.2">
      <c r="A68" t="s">
        <v>320</v>
      </c>
      <c r="D68" s="111"/>
    </row>
    <row r="69" spans="1:11" ht="33" customHeight="1" x14ac:dyDescent="0.2">
      <c r="B69" s="163">
        <f>((PI()*B52^2)/4)*(B47/D52)</f>
        <v>1608.4954386379741</v>
      </c>
      <c r="C69" t="s">
        <v>319</v>
      </c>
    </row>
    <row r="71" spans="1:11" ht="13.8" x14ac:dyDescent="0.3">
      <c r="A71" s="128" t="str">
        <f>IF(B67&lt;B69,"Adequate","Not adequate")</f>
        <v>Adequate</v>
      </c>
      <c r="B71" t="str">
        <f>IF(B66&lt;B69," since required reinforcement area is less than provided reinforcement area"," since required reinforcement area is more than provided reinforcement area.")</f>
        <v xml:space="preserve"> since required reinforcement area is less than provided reinforcement area</v>
      </c>
    </row>
    <row r="73" spans="1:11" ht="13.8" x14ac:dyDescent="0.3">
      <c r="A73" s="120" t="s">
        <v>291</v>
      </c>
    </row>
    <row r="75" spans="1:11" x14ac:dyDescent="0.2">
      <c r="A75" s="111" t="s">
        <v>292</v>
      </c>
      <c r="B75" s="111">
        <f>B53</f>
        <v>142</v>
      </c>
      <c r="C75" s="111" t="s">
        <v>10</v>
      </c>
    </row>
    <row r="76" spans="1:11" ht="13.8" x14ac:dyDescent="0.3">
      <c r="A76" s="129" t="s">
        <v>293</v>
      </c>
      <c r="B76" s="130">
        <v>0.79</v>
      </c>
    </row>
    <row r="77" spans="1:11" ht="13.8" x14ac:dyDescent="0.3">
      <c r="A77" s="129" t="s">
        <v>289</v>
      </c>
      <c r="B77" s="130">
        <v>0.87</v>
      </c>
    </row>
    <row r="79" spans="1:11" ht="16.95" customHeight="1" x14ac:dyDescent="0.2"/>
    <row r="80" spans="1:11" ht="18.600000000000001" customHeight="1" x14ac:dyDescent="0.2"/>
    <row r="81" spans="1:3" ht="38.4" customHeight="1" x14ac:dyDescent="0.2">
      <c r="B81" s="131">
        <f>(B45*B69)/(B76*B77*B44*B47)</f>
        <v>29.253881831768769</v>
      </c>
      <c r="C81" s="111" t="s">
        <v>10</v>
      </c>
    </row>
    <row r="82" spans="1:3" ht="28.95" customHeight="1" x14ac:dyDescent="0.2">
      <c r="B82" s="117">
        <f>B81/B75</f>
        <v>0.20601325233639978</v>
      </c>
    </row>
    <row r="83" spans="1:3" x14ac:dyDescent="0.2">
      <c r="A83" s="111" t="str">
        <f>IF(B82&lt;0.36,"Compression reinforcement not required","Compression reinforcement required")</f>
        <v>Compression reinforcement not required</v>
      </c>
    </row>
    <row r="84" spans="1:3" ht="13.8" x14ac:dyDescent="0.3">
      <c r="A84" s="111" t="s">
        <v>294</v>
      </c>
      <c r="B84" s="130">
        <v>0.85</v>
      </c>
    </row>
    <row r="85" spans="1:3" ht="35.4" customHeight="1" x14ac:dyDescent="0.2">
      <c r="B85" s="111">
        <f>B84*(B45*B69)*(B75-((B77*B81)/2))*10^-6</f>
        <v>88.373455498299791</v>
      </c>
      <c r="C85" s="111" t="s">
        <v>305</v>
      </c>
    </row>
    <row r="86" spans="1:3" x14ac:dyDescent="0.2">
      <c r="A86" s="111" t="str">
        <f>IF(B85&gt;B46,"Since, Muo &gt; M*, Okay","Since, Muo &lt; M*, Not Okay")</f>
        <v>Since, Muo &gt; M*, Okay</v>
      </c>
    </row>
    <row r="87" spans="1:3" ht="14.4" x14ac:dyDescent="0.3">
      <c r="A87" s="132" t="str">
        <f>IF(B85&gt;H63,"")</f>
        <v/>
      </c>
    </row>
  </sheetData>
  <mergeCells count="1">
    <mergeCell ref="D16:D18"/>
  </mergeCells>
  <conditionalFormatting sqref="A71">
    <cfRule type="expression" dxfId="30" priority="3">
      <formula>$B$42&lt;$B$45</formula>
    </cfRule>
    <cfRule type="expression" dxfId="29" priority="4">
      <formula>$B$42&lt;$B$45</formula>
    </cfRule>
    <cfRule type="expression" dxfId="28" priority="5">
      <formula>"B37&lt;B40"</formula>
    </cfRule>
  </conditionalFormatting>
  <conditionalFormatting sqref="A83">
    <cfRule type="expression" dxfId="27" priority="2">
      <formula>$B$56&lt;0.36</formula>
    </cfRule>
  </conditionalFormatting>
  <conditionalFormatting sqref="A86">
    <cfRule type="expression" dxfId="26" priority="1">
      <formula>$B$59&gt;$H$37</formula>
    </cfRule>
  </conditionalFormatting>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rowBreaks count="1" manualBreakCount="1">
    <brk id="59" max="6" man="1"/>
  </rowBreaks>
  <drawing r:id="rId2"/>
  <legacyDrawing r:id="rId3"/>
  <legacyDrawingHF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995C-B551-440B-97F5-BB146F72D913}">
  <sheetPr codeName="Sheet12">
    <tabColor rgb="FF353D30"/>
  </sheetPr>
  <dimension ref="A1:M66"/>
  <sheetViews>
    <sheetView view="pageBreakPreview" topLeftCell="A31" zoomScale="160" zoomScaleNormal="100" zoomScaleSheetLayoutView="160" workbookViewId="0"/>
  </sheetViews>
  <sheetFormatPr defaultColWidth="8.7109375" defaultRowHeight="10.199999999999999" x14ac:dyDescent="0.2"/>
  <cols>
    <col min="1" max="1" width="41.28515625" customWidth="1"/>
    <col min="2" max="2" width="18.7109375" customWidth="1"/>
    <col min="3" max="3" width="12.28515625" customWidth="1"/>
    <col min="4" max="4" width="14" customWidth="1"/>
  </cols>
  <sheetData>
    <row r="1" spans="1:13" s="11" customFormat="1" ht="15.75" customHeight="1" x14ac:dyDescent="0.2">
      <c r="A1"/>
      <c r="B1" s="10"/>
      <c r="C1" s="10"/>
      <c r="D1" s="10"/>
      <c r="E1" s="10"/>
      <c r="F1" s="10"/>
      <c r="G1" s="10"/>
      <c r="H1" s="10"/>
      <c r="I1" s="10"/>
      <c r="J1" s="10"/>
      <c r="K1" s="10"/>
      <c r="L1" s="10"/>
      <c r="M1" s="10"/>
    </row>
    <row r="2" spans="1:13" s="11" customFormat="1" ht="21" customHeight="1" x14ac:dyDescent="0.2">
      <c r="A2" s="10"/>
      <c r="B2" s="10"/>
      <c r="C2" s="10"/>
      <c r="D2" s="10"/>
      <c r="E2" s="10"/>
      <c r="F2" s="10"/>
      <c r="G2" s="10"/>
      <c r="H2" s="10"/>
      <c r="I2" s="10"/>
      <c r="J2" s="10"/>
      <c r="K2" s="10"/>
      <c r="L2" s="10"/>
      <c r="M2" s="10"/>
    </row>
    <row r="3" spans="1:13" s="11" customFormat="1" ht="15.75" customHeight="1" x14ac:dyDescent="0.2">
      <c r="A3" s="10"/>
      <c r="B3" s="10"/>
      <c r="C3" s="10"/>
      <c r="D3" s="10"/>
      <c r="E3" s="10"/>
      <c r="F3" s="10"/>
      <c r="G3" s="10"/>
      <c r="H3" s="10"/>
      <c r="I3" s="10"/>
      <c r="J3" s="10"/>
      <c r="K3" s="10"/>
      <c r="L3" s="10"/>
      <c r="M3" s="10"/>
    </row>
    <row r="4" spans="1:13" s="11" customFormat="1" ht="22.5" customHeight="1" x14ac:dyDescent="0.2">
      <c r="A4" s="10"/>
      <c r="B4" s="10"/>
      <c r="C4" s="10"/>
      <c r="D4" s="10"/>
      <c r="E4" s="10"/>
      <c r="F4" s="10"/>
      <c r="G4" s="10"/>
      <c r="H4" s="10"/>
      <c r="I4" s="10"/>
      <c r="J4" s="10"/>
      <c r="K4" s="10"/>
      <c r="L4" s="10"/>
      <c r="M4" s="10"/>
    </row>
    <row r="5" spans="1:13" s="11" customFormat="1" ht="22.5" customHeight="1" x14ac:dyDescent="0.2">
      <c r="A5" s="10"/>
      <c r="B5" s="10"/>
      <c r="C5" s="10"/>
      <c r="D5" s="10"/>
      <c r="E5" s="10"/>
      <c r="F5" s="10"/>
      <c r="G5" s="10"/>
      <c r="H5" s="10"/>
      <c r="I5" s="10"/>
      <c r="J5" s="10"/>
      <c r="K5" s="10"/>
      <c r="L5" s="10"/>
      <c r="M5" s="10"/>
    </row>
    <row r="6" spans="1:13" s="11" customFormat="1" ht="22.5" customHeight="1" x14ac:dyDescent="0.2">
      <c r="A6" s="135" t="s">
        <v>295</v>
      </c>
      <c r="B6" s="136" t="s">
        <v>323</v>
      </c>
      <c r="C6" s="135"/>
      <c r="D6" s="135"/>
      <c r="E6" s="10"/>
      <c r="F6" s="10"/>
      <c r="G6" s="10"/>
      <c r="H6" s="10"/>
      <c r="I6" s="10"/>
      <c r="J6" s="10"/>
      <c r="K6" s="10"/>
      <c r="L6" s="10"/>
      <c r="M6" s="10"/>
    </row>
    <row r="7" spans="1:13" s="11" customFormat="1" x14ac:dyDescent="0.2">
      <c r="A7" t="s">
        <v>299</v>
      </c>
      <c r="B7" s="137">
        <v>2.1</v>
      </c>
      <c r="C7" t="s">
        <v>106</v>
      </c>
      <c r="D7"/>
    </row>
    <row r="8" spans="1:13" s="11" customFormat="1" ht="11.4" x14ac:dyDescent="0.2">
      <c r="A8" t="s">
        <v>245</v>
      </c>
      <c r="B8" s="137">
        <v>20</v>
      </c>
      <c r="C8" t="s">
        <v>296</v>
      </c>
      <c r="D8"/>
    </row>
    <row r="9" spans="1:13" x14ac:dyDescent="0.2">
      <c r="A9" t="s">
        <v>246</v>
      </c>
      <c r="B9" s="137">
        <v>30</v>
      </c>
      <c r="C9" t="s">
        <v>247</v>
      </c>
    </row>
    <row r="10" spans="1:13" x14ac:dyDescent="0.2">
      <c r="A10" t="s">
        <v>248</v>
      </c>
      <c r="B10" s="137">
        <f>B7+0.3+0.3</f>
        <v>2.6999999999999997</v>
      </c>
      <c r="C10" t="s">
        <v>106</v>
      </c>
    </row>
    <row r="11" spans="1:13" x14ac:dyDescent="0.2">
      <c r="A11" t="s">
        <v>249</v>
      </c>
      <c r="B11" s="138">
        <f>(1-SIN(RADIANS(B9)))/(1+SIN(RADIANS(B9)))</f>
        <v>0.33333333333333331</v>
      </c>
    </row>
    <row r="12" spans="1:13" ht="14.4" x14ac:dyDescent="0.3">
      <c r="A12" s="113" t="s">
        <v>250</v>
      </c>
      <c r="B12" s="138"/>
    </row>
    <row r="13" spans="1:13" x14ac:dyDescent="0.2">
      <c r="A13" s="111"/>
      <c r="B13" s="138">
        <f>0.5*B11*B8*B10^2</f>
        <v>24.299999999999994</v>
      </c>
      <c r="C13" t="s">
        <v>301</v>
      </c>
      <c r="E13" t="s">
        <v>276</v>
      </c>
    </row>
    <row r="14" spans="1:13" ht="13.8" x14ac:dyDescent="0.3">
      <c r="A14" s="139" t="s">
        <v>251</v>
      </c>
      <c r="B14" s="138"/>
      <c r="C14" s="114" t="s">
        <v>252</v>
      </c>
      <c r="D14" s="111"/>
    </row>
    <row r="15" spans="1:13" x14ac:dyDescent="0.2">
      <c r="A15" s="115" t="str">
        <f>B6</f>
        <v>MCR 1.8m Liner Depth, 1.2m Diameter TS9070U</v>
      </c>
      <c r="B15" s="138"/>
      <c r="C15" s="111"/>
      <c r="D15" s="111"/>
    </row>
    <row r="16" spans="1:13" ht="10.199999999999999" customHeight="1" x14ac:dyDescent="0.2">
      <c r="A16" t="s">
        <v>297</v>
      </c>
      <c r="B16" s="137">
        <v>1.6</v>
      </c>
      <c r="C16" t="s">
        <v>106</v>
      </c>
      <c r="D16" s="242" t="s">
        <v>253</v>
      </c>
    </row>
    <row r="17" spans="1:6" x14ac:dyDescent="0.2">
      <c r="A17" t="s">
        <v>298</v>
      </c>
      <c r="B17" s="137">
        <v>0.5</v>
      </c>
      <c r="C17" t="s">
        <v>106</v>
      </c>
      <c r="D17" s="242"/>
    </row>
    <row r="18" spans="1:6" x14ac:dyDescent="0.2">
      <c r="A18" t="s">
        <v>254</v>
      </c>
      <c r="B18" s="137">
        <v>61</v>
      </c>
      <c r="C18" t="s">
        <v>255</v>
      </c>
      <c r="D18" s="242"/>
      <c r="E18" s="97" t="s">
        <v>300</v>
      </c>
    </row>
    <row r="19" spans="1:6" x14ac:dyDescent="0.2">
      <c r="A19" t="s">
        <v>256</v>
      </c>
      <c r="B19" s="140">
        <v>1.64</v>
      </c>
      <c r="C19" t="s">
        <v>106</v>
      </c>
      <c r="D19" s="111"/>
    </row>
    <row r="20" spans="1:6" x14ac:dyDescent="0.2">
      <c r="A20" t="s">
        <v>259</v>
      </c>
      <c r="B20" s="138">
        <f>B11*B18*B19</f>
        <v>33.346666666666664</v>
      </c>
      <c r="C20" t="s">
        <v>301</v>
      </c>
      <c r="D20" s="111"/>
    </row>
    <row r="21" spans="1:6" x14ac:dyDescent="0.2">
      <c r="B21" s="111"/>
      <c r="D21" s="111"/>
    </row>
    <row r="22" spans="1:6" ht="12" x14ac:dyDescent="0.2">
      <c r="A22" s="139" t="s">
        <v>257</v>
      </c>
      <c r="B22" s="111"/>
      <c r="D22" s="111"/>
    </row>
    <row r="23" spans="1:6" x14ac:dyDescent="0.2">
      <c r="A23" t="s">
        <v>258</v>
      </c>
      <c r="B23" s="137">
        <v>0</v>
      </c>
      <c r="C23" t="s">
        <v>255</v>
      </c>
      <c r="D23" s="111"/>
    </row>
    <row r="24" spans="1:6" x14ac:dyDescent="0.2">
      <c r="A24" t="s">
        <v>259</v>
      </c>
      <c r="B24" s="138">
        <f>B11*B23*B10</f>
        <v>0</v>
      </c>
      <c r="C24" t="s">
        <v>301</v>
      </c>
      <c r="D24" s="111"/>
    </row>
    <row r="25" spans="1:6" x14ac:dyDescent="0.2">
      <c r="B25" s="111"/>
      <c r="D25" s="111"/>
    </row>
    <row r="26" spans="1:6" ht="12" x14ac:dyDescent="0.2">
      <c r="A26" s="139" t="s">
        <v>260</v>
      </c>
      <c r="B26" s="111"/>
      <c r="D26" s="111"/>
    </row>
    <row r="27" spans="1:6" ht="11.4" x14ac:dyDescent="0.2">
      <c r="A27" t="s">
        <v>261</v>
      </c>
      <c r="B27" s="116">
        <v>10</v>
      </c>
      <c r="C27" t="s">
        <v>296</v>
      </c>
      <c r="D27" s="111"/>
    </row>
    <row r="28" spans="1:6" x14ac:dyDescent="0.2">
      <c r="A28" t="s">
        <v>248</v>
      </c>
      <c r="B28" s="117">
        <f>B10</f>
        <v>2.6999999999999997</v>
      </c>
      <c r="C28" t="s">
        <v>106</v>
      </c>
      <c r="D28" s="111"/>
    </row>
    <row r="29" spans="1:6" x14ac:dyDescent="0.2">
      <c r="A29" t="s">
        <v>262</v>
      </c>
      <c r="B29" s="111">
        <f>0.5*B27*B28^2*B11</f>
        <v>12.149999999999995</v>
      </c>
      <c r="C29" t="s">
        <v>301</v>
      </c>
      <c r="D29" s="111"/>
    </row>
    <row r="31" spans="1:6" ht="30.6" x14ac:dyDescent="0.2">
      <c r="A31" s="112" t="s">
        <v>263</v>
      </c>
      <c r="B31" s="112" t="s">
        <v>301</v>
      </c>
      <c r="C31" s="112" t="s">
        <v>264</v>
      </c>
      <c r="D31" s="118" t="s">
        <v>265</v>
      </c>
      <c r="E31" s="119" t="s">
        <v>302</v>
      </c>
      <c r="F31" s="119" t="s">
        <v>303</v>
      </c>
    </row>
    <row r="32" spans="1:6" x14ac:dyDescent="0.2">
      <c r="A32" s="112" t="s">
        <v>266</v>
      </c>
      <c r="B32" s="112">
        <f>B13</f>
        <v>24.299999999999994</v>
      </c>
      <c r="C32" s="112">
        <f>(1/3)*B10</f>
        <v>0.89999999999999991</v>
      </c>
      <c r="D32" s="116">
        <v>1.5</v>
      </c>
      <c r="E32" s="112">
        <f>B32*C32*D32</f>
        <v>32.804999999999986</v>
      </c>
      <c r="F32" s="112">
        <f>B32*D32</f>
        <v>36.449999999999989</v>
      </c>
    </row>
    <row r="33" spans="1:11" x14ac:dyDescent="0.2">
      <c r="A33" s="112" t="s">
        <v>267</v>
      </c>
      <c r="B33" s="112">
        <f>B20</f>
        <v>33.346666666666664</v>
      </c>
      <c r="C33" s="112">
        <f>0.5*B19</f>
        <v>0.82</v>
      </c>
      <c r="D33" s="116">
        <v>1.5</v>
      </c>
      <c r="E33" s="112">
        <f t="shared" ref="E33:E35" si="0">B33*C33*D33</f>
        <v>41.01639999999999</v>
      </c>
      <c r="F33" s="112">
        <f t="shared" ref="F33:F35" si="1">B33*D33</f>
        <v>50.019999999999996</v>
      </c>
    </row>
    <row r="34" spans="1:11" x14ac:dyDescent="0.2">
      <c r="A34" s="112" t="s">
        <v>268</v>
      </c>
      <c r="B34" s="112">
        <f>B29</f>
        <v>12.149999999999995</v>
      </c>
      <c r="C34" s="112">
        <f>(1/3)*B28</f>
        <v>0.89999999999999991</v>
      </c>
      <c r="D34" s="116">
        <v>1</v>
      </c>
      <c r="E34" s="112">
        <f t="shared" si="0"/>
        <v>10.934999999999995</v>
      </c>
      <c r="F34" s="112">
        <f t="shared" si="1"/>
        <v>12.149999999999995</v>
      </c>
    </row>
    <row r="35" spans="1:11" x14ac:dyDescent="0.2">
      <c r="A35" s="112" t="s">
        <v>269</v>
      </c>
      <c r="B35" s="112">
        <f>B24</f>
        <v>0</v>
      </c>
      <c r="C35" s="112">
        <f>0.5*B10</f>
        <v>1.3499999999999999</v>
      </c>
      <c r="D35" s="116">
        <v>1.5</v>
      </c>
      <c r="E35" s="112">
        <f t="shared" si="0"/>
        <v>0</v>
      </c>
      <c r="F35" s="112">
        <f t="shared" si="1"/>
        <v>0</v>
      </c>
    </row>
    <row r="36" spans="1:11" x14ac:dyDescent="0.2">
      <c r="A36" s="112" t="s">
        <v>270</v>
      </c>
      <c r="B36" s="112">
        <f>SUM(B32:B35)</f>
        <v>69.796666666666653</v>
      </c>
      <c r="C36" s="112"/>
      <c r="D36" s="112"/>
      <c r="E36" s="112">
        <f>SUM(E32:E35)</f>
        <v>84.756399999999985</v>
      </c>
      <c r="F36" s="112">
        <f>SUM(F32:F35)</f>
        <v>98.619999999999976</v>
      </c>
    </row>
    <row r="37" spans="1:11" x14ac:dyDescent="0.2">
      <c r="A37" s="111"/>
      <c r="B37" s="111"/>
      <c r="C37" s="111"/>
      <c r="D37" s="111"/>
      <c r="E37" s="112"/>
      <c r="F37" s="112"/>
    </row>
    <row r="38" spans="1:11" x14ac:dyDescent="0.2">
      <c r="A38" t="s">
        <v>308</v>
      </c>
      <c r="B38" s="157">
        <f>F36</f>
        <v>98.619999999999976</v>
      </c>
      <c r="C38" s="111" t="s">
        <v>307</v>
      </c>
      <c r="D38" s="111"/>
      <c r="E38" s="111"/>
      <c r="F38" s="111"/>
      <c r="G38" s="111"/>
      <c r="H38" s="111"/>
      <c r="I38" s="111"/>
      <c r="J38" s="111"/>
      <c r="K38" s="111"/>
    </row>
    <row r="39" spans="1:11" ht="13.8" x14ac:dyDescent="0.3">
      <c r="A39" t="s">
        <v>309</v>
      </c>
      <c r="B39">
        <v>0.9</v>
      </c>
      <c r="C39" t="s">
        <v>106</v>
      </c>
      <c r="D39" s="141"/>
      <c r="E39" s="142"/>
      <c r="F39" s="111"/>
      <c r="G39" s="121"/>
      <c r="H39" s="153"/>
      <c r="I39" s="154"/>
      <c r="J39" s="105"/>
      <c r="K39" s="105"/>
    </row>
    <row r="40" spans="1:11" ht="13.8" x14ac:dyDescent="0.3">
      <c r="A40" t="s">
        <v>306</v>
      </c>
      <c r="B40">
        <v>111</v>
      </c>
      <c r="C40" t="s">
        <v>307</v>
      </c>
      <c r="D40" s="160" t="s">
        <v>311</v>
      </c>
      <c r="E40" s="142"/>
      <c r="F40" s="111"/>
      <c r="G40" s="105"/>
      <c r="H40" s="155"/>
      <c r="I40" s="104"/>
      <c r="J40" s="105"/>
      <c r="K40" s="105"/>
    </row>
    <row r="41" spans="1:11" ht="13.8" x14ac:dyDescent="0.3">
      <c r="A41" t="s">
        <v>310</v>
      </c>
      <c r="B41" s="134">
        <f>B38/B40</f>
        <v>0.88846846846846828</v>
      </c>
      <c r="D41" s="158" t="str">
        <f>IF(B41&lt;1,"OK","CHANGE")</f>
        <v>OK</v>
      </c>
      <c r="E41" s="143"/>
      <c r="F41" s="104"/>
      <c r="G41" s="105"/>
      <c r="H41" s="155"/>
      <c r="I41" s="104"/>
      <c r="J41" s="105"/>
      <c r="K41" s="105"/>
    </row>
    <row r="42" spans="1:11" ht="13.8" x14ac:dyDescent="0.3">
      <c r="A42" s="104"/>
      <c r="B42" s="123"/>
      <c r="C42" s="104"/>
      <c r="D42" s="104"/>
      <c r="E42" s="104"/>
      <c r="F42" s="104"/>
      <c r="G42" s="124"/>
      <c r="H42" s="156"/>
      <c r="I42" s="104"/>
      <c r="J42" s="105"/>
      <c r="K42" s="105"/>
    </row>
    <row r="43" spans="1:11" ht="13.8" x14ac:dyDescent="0.3">
      <c r="A43" s="104"/>
      <c r="B43" s="104"/>
      <c r="C43" s="104"/>
      <c r="D43" s="104"/>
      <c r="E43" s="104"/>
      <c r="F43" s="105"/>
      <c r="G43" s="124"/>
      <c r="H43" s="155"/>
      <c r="I43" s="105"/>
      <c r="J43" s="105"/>
      <c r="K43" s="105"/>
    </row>
    <row r="44" spans="1:11" ht="13.8" x14ac:dyDescent="0.3">
      <c r="A44" s="104"/>
      <c r="B44" s="104"/>
      <c r="C44" s="104"/>
      <c r="D44" s="104"/>
      <c r="E44" s="105"/>
      <c r="F44" s="105"/>
      <c r="G44" s="104"/>
      <c r="H44" s="155"/>
      <c r="I44" s="105"/>
      <c r="J44" s="105"/>
      <c r="K44" s="105"/>
    </row>
    <row r="45" spans="1:11" ht="13.8" x14ac:dyDescent="0.3">
      <c r="A45" s="104"/>
      <c r="B45" s="104"/>
      <c r="C45" s="104"/>
      <c r="D45" s="104"/>
      <c r="E45" s="105"/>
      <c r="F45" s="105"/>
      <c r="G45" s="105"/>
      <c r="H45" s="155"/>
      <c r="I45" s="105"/>
      <c r="J45" s="105"/>
      <c r="K45" s="105"/>
    </row>
    <row r="46" spans="1:11" ht="13.8" x14ac:dyDescent="0.3">
      <c r="A46" s="104"/>
      <c r="B46" s="104"/>
      <c r="C46" s="104"/>
      <c r="D46" s="104"/>
      <c r="E46" s="105"/>
      <c r="F46" s="105"/>
      <c r="G46" s="110"/>
      <c r="H46" s="155"/>
      <c r="I46" s="105"/>
      <c r="J46" s="105"/>
      <c r="K46" s="105"/>
    </row>
    <row r="47" spans="1:11" ht="13.8" x14ac:dyDescent="0.3">
      <c r="A47" s="104"/>
      <c r="B47" s="125"/>
      <c r="C47" s="104"/>
      <c r="D47" s="111"/>
      <c r="E47" s="105"/>
      <c r="F47" s="105"/>
      <c r="G47" s="105"/>
      <c r="H47" s="126"/>
      <c r="I47" s="105"/>
      <c r="J47" s="105"/>
      <c r="K47" s="105"/>
    </row>
    <row r="48" spans="1:11" ht="13.8" x14ac:dyDescent="0.3">
      <c r="A48" s="111"/>
      <c r="B48" s="111"/>
      <c r="C48" s="111"/>
      <c r="D48" s="111"/>
      <c r="E48" s="105"/>
      <c r="F48" s="105"/>
      <c r="G48" s="105"/>
      <c r="H48" s="126"/>
      <c r="I48" s="105"/>
      <c r="J48" s="105"/>
      <c r="K48" s="105"/>
    </row>
    <row r="49" spans="1:11" ht="13.8" x14ac:dyDescent="0.3">
      <c r="A49" s="105"/>
      <c r="B49" s="104"/>
      <c r="C49" s="104"/>
      <c r="D49" s="104"/>
      <c r="E49" s="105"/>
      <c r="F49" s="105"/>
      <c r="G49" s="127"/>
      <c r="H49" s="126"/>
      <c r="I49" s="105"/>
      <c r="J49" s="105"/>
      <c r="K49" s="105"/>
    </row>
    <row r="50" spans="1:11" ht="13.8" x14ac:dyDescent="0.3">
      <c r="A50" s="105"/>
      <c r="B50" s="144"/>
      <c r="C50" s="104"/>
      <c r="D50" s="142"/>
      <c r="E50" s="105"/>
      <c r="F50" s="105"/>
      <c r="G50" s="105"/>
      <c r="H50" s="105"/>
      <c r="I50" s="105"/>
      <c r="J50" s="105"/>
      <c r="K50" s="105"/>
    </row>
    <row r="51" spans="1:11" ht="13.8" x14ac:dyDescent="0.3">
      <c r="A51" s="142"/>
      <c r="B51" s="145"/>
      <c r="C51" s="142"/>
      <c r="D51" s="142"/>
      <c r="E51" s="105"/>
      <c r="F51" s="105"/>
      <c r="G51" s="105"/>
      <c r="H51" s="105"/>
      <c r="I51" s="105"/>
      <c r="J51" s="105"/>
      <c r="K51" s="105"/>
    </row>
    <row r="52" spans="1:11" ht="13.8" x14ac:dyDescent="0.3">
      <c r="A52" s="146"/>
      <c r="B52" s="126"/>
      <c r="C52" s="142"/>
      <c r="D52" s="142"/>
      <c r="E52" s="105"/>
      <c r="F52" s="105"/>
      <c r="G52" s="105"/>
      <c r="H52" s="105"/>
      <c r="I52" s="105"/>
      <c r="J52" s="105"/>
      <c r="K52" s="105"/>
    </row>
    <row r="53" spans="1:11" ht="13.8" x14ac:dyDescent="0.3">
      <c r="A53" s="105"/>
      <c r="B53" s="105"/>
      <c r="C53" s="105"/>
      <c r="D53" s="105"/>
      <c r="E53" s="105"/>
      <c r="F53" s="105"/>
      <c r="G53" s="105"/>
      <c r="H53" s="105"/>
      <c r="I53" s="105"/>
      <c r="J53" s="105"/>
      <c r="K53" s="105"/>
    </row>
    <row r="54" spans="1:11" ht="13.8" x14ac:dyDescent="0.3">
      <c r="A54" s="147"/>
      <c r="B54" s="105"/>
      <c r="C54" s="105"/>
      <c r="D54" s="105"/>
      <c r="E54" s="105"/>
      <c r="F54" s="105"/>
      <c r="G54" s="105"/>
      <c r="H54" s="105"/>
      <c r="I54" s="105"/>
      <c r="J54" s="105"/>
      <c r="K54" s="105"/>
    </row>
    <row r="55" spans="1:11" ht="13.8" x14ac:dyDescent="0.3">
      <c r="A55" s="142"/>
      <c r="B55" s="142"/>
      <c r="C55" s="142"/>
      <c r="D55" s="142"/>
      <c r="E55" s="142"/>
      <c r="F55" s="111"/>
      <c r="G55" s="105"/>
      <c r="H55" s="105"/>
      <c r="I55" s="105"/>
      <c r="J55" s="105"/>
      <c r="K55" s="105"/>
    </row>
    <row r="56" spans="1:11" ht="13.8" x14ac:dyDescent="0.3">
      <c r="A56" s="148"/>
      <c r="B56" s="149"/>
      <c r="C56" s="142"/>
      <c r="D56" s="142"/>
      <c r="E56" s="142"/>
      <c r="F56" s="111"/>
      <c r="G56" s="105"/>
      <c r="H56" s="105"/>
      <c r="I56" s="105"/>
      <c r="J56" s="105"/>
      <c r="K56" s="105"/>
    </row>
    <row r="57" spans="1:11" ht="13.8" x14ac:dyDescent="0.3">
      <c r="A57" s="148"/>
      <c r="B57" s="149"/>
      <c r="C57" s="142"/>
      <c r="D57" s="142"/>
      <c r="E57" s="142"/>
      <c r="F57" s="111"/>
      <c r="G57" s="105"/>
      <c r="H57" s="105"/>
      <c r="I57" s="105"/>
      <c r="J57" s="105"/>
      <c r="K57" s="105"/>
    </row>
    <row r="58" spans="1:11" ht="13.8" x14ac:dyDescent="0.3">
      <c r="A58" s="142"/>
      <c r="B58" s="142"/>
      <c r="C58" s="142"/>
      <c r="D58" s="142"/>
      <c r="E58" s="142"/>
      <c r="F58" s="111"/>
      <c r="G58" s="105"/>
      <c r="H58" s="105"/>
      <c r="I58" s="105"/>
      <c r="J58" s="105"/>
      <c r="K58" s="105"/>
    </row>
    <row r="59" spans="1:11" ht="13.8" x14ac:dyDescent="0.3">
      <c r="A59" s="142"/>
      <c r="B59" s="142"/>
      <c r="C59" s="142"/>
      <c r="D59" s="142"/>
      <c r="E59" s="142"/>
      <c r="F59" s="111"/>
      <c r="G59" s="105"/>
      <c r="H59" s="105"/>
      <c r="I59" s="105"/>
      <c r="J59" s="105"/>
      <c r="K59" s="105"/>
    </row>
    <row r="60" spans="1:11" ht="13.8" x14ac:dyDescent="0.3">
      <c r="A60" s="142"/>
      <c r="B60" s="149"/>
      <c r="C60" s="142"/>
      <c r="D60" s="142"/>
      <c r="E60" s="142"/>
      <c r="F60" s="111"/>
      <c r="G60" s="105"/>
      <c r="H60" s="105"/>
      <c r="I60" s="105"/>
      <c r="J60" s="105"/>
      <c r="K60" s="105"/>
    </row>
    <row r="61" spans="1:11" x14ac:dyDescent="0.2">
      <c r="A61" s="142"/>
      <c r="B61" s="150"/>
      <c r="C61" s="142"/>
      <c r="D61" s="142"/>
      <c r="E61" s="142"/>
      <c r="F61" s="111"/>
      <c r="G61" s="111"/>
      <c r="H61" s="111"/>
      <c r="I61" s="111"/>
      <c r="J61" s="111"/>
      <c r="K61" s="111"/>
    </row>
    <row r="62" spans="1:11" ht="13.8" x14ac:dyDescent="0.3">
      <c r="A62" s="142"/>
      <c r="B62" s="142"/>
      <c r="C62" s="142"/>
      <c r="D62" s="142"/>
      <c r="E62" s="142"/>
      <c r="F62" s="111"/>
      <c r="G62" s="111"/>
      <c r="H62" s="105"/>
      <c r="I62" s="105"/>
      <c r="J62" s="105"/>
      <c r="K62" s="105"/>
    </row>
    <row r="63" spans="1:11" x14ac:dyDescent="0.2">
      <c r="A63" s="142"/>
      <c r="B63" s="149"/>
      <c r="C63" s="142"/>
      <c r="D63" s="142"/>
      <c r="E63" s="142"/>
      <c r="F63" s="111"/>
      <c r="G63" s="111"/>
      <c r="H63" s="111"/>
      <c r="I63" s="111"/>
      <c r="J63" s="111"/>
      <c r="K63" s="111"/>
    </row>
    <row r="64" spans="1:11" x14ac:dyDescent="0.2">
      <c r="A64" s="142"/>
      <c r="B64" s="142"/>
      <c r="C64" s="142"/>
      <c r="D64" s="142"/>
      <c r="E64" s="142"/>
      <c r="F64" s="111"/>
      <c r="G64" s="111"/>
      <c r="H64" s="111"/>
      <c r="I64" s="111"/>
      <c r="J64" s="111"/>
      <c r="K64" s="111"/>
    </row>
    <row r="65" spans="1:11" x14ac:dyDescent="0.2">
      <c r="A65" s="142"/>
      <c r="B65" s="142"/>
      <c r="C65" s="142"/>
      <c r="D65" s="142"/>
      <c r="E65" s="142"/>
      <c r="F65" s="111"/>
      <c r="G65" s="111"/>
      <c r="H65" s="111"/>
      <c r="I65" s="111"/>
      <c r="J65" s="111"/>
      <c r="K65" s="111"/>
    </row>
    <row r="66" spans="1:11" ht="14.4" x14ac:dyDescent="0.3">
      <c r="A66" s="151"/>
      <c r="B66" s="152"/>
      <c r="C66" s="151"/>
      <c r="D66" s="151"/>
      <c r="E66" s="151"/>
      <c r="F66" s="132"/>
      <c r="G66" s="111"/>
      <c r="H66" s="111"/>
      <c r="I66" s="111"/>
      <c r="J66" s="111"/>
      <c r="K66" s="111"/>
    </row>
  </sheetData>
  <mergeCells count="1">
    <mergeCell ref="D16:D18"/>
  </mergeCells>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 r:id="rId3"/>
  <legacyDrawingHF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Z50"/>
  <sheetViews>
    <sheetView zoomScaleNormal="100" workbookViewId="0"/>
  </sheetViews>
  <sheetFormatPr defaultColWidth="8.7109375" defaultRowHeight="15.75" customHeight="1" x14ac:dyDescent="0.2"/>
  <cols>
    <col min="1" max="16384" width="8.7109375" style="11"/>
  </cols>
  <sheetData>
    <row r="1" spans="1:26" ht="15.75" customHeight="1" x14ac:dyDescent="0.2">
      <c r="A1"/>
      <c r="B1" s="10"/>
      <c r="C1" s="10"/>
      <c r="D1" s="10"/>
      <c r="E1" s="10"/>
      <c r="F1" s="10"/>
      <c r="G1" s="10"/>
      <c r="H1" s="10"/>
      <c r="I1" s="10"/>
      <c r="J1" s="10"/>
      <c r="K1" s="10"/>
      <c r="L1" s="10"/>
      <c r="M1" s="10"/>
      <c r="N1" s="41"/>
      <c r="O1" s="41"/>
      <c r="P1" s="41"/>
      <c r="Q1" s="41"/>
      <c r="R1" s="41"/>
      <c r="S1" s="41"/>
      <c r="T1" s="41"/>
      <c r="U1" s="41"/>
      <c r="V1" s="41"/>
      <c r="W1" s="41"/>
      <c r="X1" s="41"/>
      <c r="Y1" s="41"/>
      <c r="Z1" s="41"/>
    </row>
    <row r="2" spans="1:26" ht="21" customHeight="1" x14ac:dyDescent="0.2">
      <c r="A2" s="10"/>
      <c r="B2" s="10"/>
      <c r="C2" s="10"/>
      <c r="D2" s="10"/>
      <c r="E2" s="10"/>
      <c r="F2" s="10"/>
      <c r="G2" s="10"/>
      <c r="H2" s="10"/>
      <c r="I2" s="10"/>
      <c r="J2" s="10"/>
      <c r="K2" s="10"/>
      <c r="L2" s="10"/>
      <c r="M2" s="10"/>
      <c r="N2" s="41"/>
      <c r="O2" s="41"/>
      <c r="P2" s="41"/>
      <c r="Q2" s="41"/>
      <c r="R2" s="41"/>
      <c r="S2" s="41"/>
      <c r="T2" s="41"/>
      <c r="U2" s="41"/>
      <c r="V2" s="41"/>
      <c r="W2" s="41"/>
      <c r="X2" s="41"/>
      <c r="Y2" s="41"/>
      <c r="Z2" s="41"/>
    </row>
    <row r="3" spans="1:26" ht="15.75" customHeight="1" x14ac:dyDescent="0.2">
      <c r="A3" s="10"/>
      <c r="B3" s="10"/>
      <c r="C3" s="10"/>
      <c r="D3" s="10"/>
      <c r="E3" s="10"/>
      <c r="F3" s="10"/>
      <c r="G3" s="10"/>
      <c r="H3" s="10"/>
      <c r="I3" s="10"/>
      <c r="J3" s="10"/>
      <c r="K3" s="10"/>
      <c r="L3" s="10"/>
      <c r="M3" s="10"/>
      <c r="N3" s="41"/>
      <c r="O3" s="41"/>
      <c r="P3" s="41"/>
      <c r="Q3" s="41"/>
      <c r="R3" s="41"/>
      <c r="S3" s="41"/>
      <c r="T3" s="41"/>
      <c r="U3" s="41"/>
      <c r="V3" s="41"/>
      <c r="W3" s="41"/>
      <c r="X3" s="41"/>
      <c r="Y3" s="41"/>
      <c r="Z3" s="41"/>
    </row>
    <row r="4" spans="1:26" ht="22.5" customHeight="1" x14ac:dyDescent="0.2">
      <c r="A4" s="10"/>
      <c r="B4" s="10"/>
      <c r="C4" s="10"/>
      <c r="D4" s="10"/>
      <c r="E4" s="10"/>
      <c r="F4" s="10"/>
      <c r="G4" s="10"/>
      <c r="H4" s="10"/>
      <c r="I4" s="10"/>
      <c r="J4" s="10"/>
      <c r="K4" s="10"/>
      <c r="L4" s="10"/>
      <c r="M4" s="10"/>
      <c r="N4" s="41"/>
      <c r="O4" s="41"/>
      <c r="P4" s="41"/>
      <c r="Q4" s="41"/>
      <c r="R4" s="41"/>
      <c r="S4" s="41"/>
      <c r="T4" s="41"/>
      <c r="U4" s="41"/>
      <c r="V4" s="41"/>
      <c r="W4" s="41"/>
      <c r="X4" s="41"/>
      <c r="Y4" s="41"/>
      <c r="Z4" s="41"/>
    </row>
    <row r="5" spans="1:26" ht="22.5" customHeight="1" x14ac:dyDescent="0.2">
      <c r="A5" s="10"/>
      <c r="B5" s="10"/>
      <c r="C5" s="10"/>
      <c r="D5" s="10"/>
      <c r="E5" s="10"/>
      <c r="F5" s="10"/>
      <c r="G5" s="10"/>
      <c r="H5" s="10"/>
      <c r="I5" s="10"/>
      <c r="J5" s="10"/>
      <c r="K5" s="10"/>
      <c r="L5" s="10"/>
      <c r="M5" s="10"/>
      <c r="N5" s="41"/>
      <c r="O5" s="41"/>
      <c r="P5" s="41"/>
      <c r="Q5" s="41"/>
      <c r="R5" s="41"/>
      <c r="S5" s="41"/>
      <c r="T5" s="41"/>
      <c r="U5" s="41"/>
      <c r="V5" s="41"/>
      <c r="W5" s="41"/>
      <c r="X5" s="41"/>
      <c r="Y5" s="41"/>
      <c r="Z5" s="41"/>
    </row>
    <row r="6" spans="1:26" ht="22.5" customHeight="1" x14ac:dyDescent="0.2">
      <c r="A6" s="10"/>
      <c r="B6" s="10"/>
      <c r="C6" s="10"/>
      <c r="D6" s="10"/>
      <c r="E6" s="10"/>
      <c r="F6" s="10"/>
      <c r="G6" s="10"/>
      <c r="H6" s="10"/>
      <c r="I6" s="10"/>
      <c r="J6" s="10"/>
      <c r="K6" s="10"/>
      <c r="L6" s="10"/>
      <c r="M6" s="10"/>
      <c r="N6" s="41"/>
      <c r="O6" s="41"/>
      <c r="P6" s="41"/>
      <c r="Q6" s="41"/>
      <c r="R6" s="41"/>
      <c r="S6" s="41"/>
      <c r="T6" s="41"/>
      <c r="U6" s="41"/>
      <c r="V6" s="41"/>
      <c r="W6" s="41"/>
      <c r="X6" s="41"/>
      <c r="Y6" s="41"/>
      <c r="Z6" s="41"/>
    </row>
    <row r="7" spans="1:26" ht="15.75" customHeight="1" x14ac:dyDescent="0.2">
      <c r="A7" s="8" t="s">
        <v>79</v>
      </c>
      <c r="B7" s="8"/>
      <c r="C7" s="8"/>
      <c r="D7" s="8"/>
      <c r="E7" s="8"/>
      <c r="F7" s="8"/>
      <c r="G7" s="8"/>
      <c r="H7" s="8"/>
      <c r="I7" s="8"/>
      <c r="J7" s="8"/>
      <c r="K7" s="8"/>
      <c r="L7" s="8"/>
      <c r="M7" s="8"/>
      <c r="N7" s="41"/>
      <c r="O7" s="41"/>
      <c r="P7" s="41"/>
      <c r="Q7" s="41"/>
      <c r="R7" s="41"/>
      <c r="S7" s="41"/>
      <c r="T7" s="41"/>
      <c r="U7" s="41"/>
      <c r="V7" s="41"/>
      <c r="W7" s="41"/>
      <c r="X7" s="41"/>
      <c r="Y7" s="41"/>
      <c r="Z7" s="41"/>
    </row>
    <row r="8" spans="1:26" s="12" customFormat="1" ht="15.75" customHeight="1" x14ac:dyDescent="0.2">
      <c r="A8" s="7" t="s">
        <v>80</v>
      </c>
      <c r="B8" s="7"/>
      <c r="C8" s="7"/>
      <c r="D8" s="7"/>
      <c r="E8" s="7"/>
      <c r="F8" s="7"/>
      <c r="G8" s="7"/>
      <c r="H8" s="7"/>
      <c r="I8" s="7"/>
      <c r="J8" s="7"/>
      <c r="K8" s="7"/>
      <c r="L8" s="7"/>
      <c r="M8" s="7"/>
      <c r="N8" s="42"/>
      <c r="O8" s="42"/>
      <c r="P8" s="42"/>
      <c r="Q8" s="42"/>
      <c r="R8" s="42"/>
      <c r="S8" s="42"/>
      <c r="T8" s="42"/>
      <c r="U8" s="42"/>
      <c r="V8" s="42"/>
      <c r="W8" s="42"/>
      <c r="X8" s="42"/>
      <c r="Y8" s="42"/>
      <c r="Z8" s="42"/>
    </row>
    <row r="9" spans="1:26" s="12" customFormat="1" ht="15.75" customHeight="1" x14ac:dyDescent="0.2">
      <c r="A9" s="9" t="s">
        <v>81</v>
      </c>
      <c r="B9" s="9"/>
      <c r="C9" s="9"/>
      <c r="D9" s="9"/>
      <c r="E9" s="17"/>
      <c r="F9" s="36"/>
      <c r="G9" s="18"/>
      <c r="H9" s="18"/>
      <c r="I9" s="17" t="s">
        <v>25</v>
      </c>
      <c r="J9" s="17"/>
      <c r="K9" s="17"/>
      <c r="L9" s="17" t="s">
        <v>23</v>
      </c>
      <c r="M9" s="18"/>
      <c r="N9" s="243" t="s">
        <v>24</v>
      </c>
      <c r="O9" s="243"/>
      <c r="P9" s="42"/>
      <c r="Q9" s="42"/>
      <c r="R9" s="42"/>
      <c r="S9" s="42"/>
      <c r="T9" s="42"/>
      <c r="U9" s="42"/>
      <c r="V9" s="42"/>
      <c r="W9" s="42"/>
      <c r="X9" s="42"/>
      <c r="Y9" s="42"/>
      <c r="Z9" s="42"/>
    </row>
    <row r="10" spans="1:26" ht="15.75" customHeight="1" x14ac:dyDescent="0.2">
      <c r="A10" s="11" t="s">
        <v>39</v>
      </c>
      <c r="B10"/>
      <c r="D10"/>
      <c r="F10" s="53" t="s">
        <v>9</v>
      </c>
      <c r="G10" s="5">
        <v>520</v>
      </c>
      <c r="H10" s="13" t="s">
        <v>10</v>
      </c>
      <c r="I10" t="s">
        <v>32</v>
      </c>
      <c r="L10" t="s">
        <v>11</v>
      </c>
      <c r="M10" s="10"/>
      <c r="N10" s="43" t="str">
        <f>IF(G10="","Incomplete",IF(OR(G10&lt;=2*G12,G10&gt;2000),"Fail","OK"))</f>
        <v>OK</v>
      </c>
      <c r="O10" s="41" t="str">
        <f>IF(G10="",": blank input",IF(OR(G10&lt;=G12*2,G10&gt;2000),": invalid input",": valid input"))</f>
        <v>: valid input</v>
      </c>
      <c r="P10" s="41"/>
      <c r="Q10" s="41"/>
      <c r="R10" s="41"/>
      <c r="S10" s="41"/>
      <c r="T10" s="41"/>
      <c r="U10" s="41"/>
      <c r="V10" s="41"/>
      <c r="W10" s="41"/>
      <c r="X10" s="41"/>
      <c r="Y10" s="41"/>
      <c r="Z10" s="41"/>
    </row>
    <row r="11" spans="1:26" ht="15.75" customHeight="1" x14ac:dyDescent="0.2">
      <c r="A11" s="11" t="s">
        <v>40</v>
      </c>
      <c r="B11"/>
      <c r="D11"/>
      <c r="F11" s="53" t="s">
        <v>133</v>
      </c>
      <c r="G11" s="5">
        <v>2100</v>
      </c>
      <c r="H11" s="13" t="s">
        <v>10</v>
      </c>
      <c r="I11" t="s">
        <v>33</v>
      </c>
      <c r="K11"/>
      <c r="L11"/>
      <c r="M11" s="10"/>
      <c r="N11" s="43" t="str">
        <f>IF(G11="","Incomplete",IF(OR(G11&lt;G13,G11&gt;2000),"Fail","OK"))</f>
        <v>Fail</v>
      </c>
      <c r="O11" s="41" t="str">
        <f>IF(G11="",": blank input",IF(OR(G11&lt;=G13,G11&gt;2000),": invalid input",": valid input"))</f>
        <v>: invalid input</v>
      </c>
      <c r="P11" s="41"/>
      <c r="Q11" s="41"/>
      <c r="R11" s="41"/>
      <c r="S11" s="41"/>
      <c r="T11" s="41"/>
      <c r="U11" s="41"/>
      <c r="V11" s="41"/>
      <c r="W11" s="41"/>
      <c r="X11" s="41"/>
      <c r="Y11" s="41"/>
      <c r="Z11" s="41"/>
    </row>
    <row r="12" spans="1:26" ht="15.75" customHeight="1" x14ac:dyDescent="0.2">
      <c r="A12" s="11" t="s">
        <v>41</v>
      </c>
      <c r="B12"/>
      <c r="D12"/>
      <c r="F12" s="53" t="s">
        <v>134</v>
      </c>
      <c r="G12" s="6">
        <v>16</v>
      </c>
      <c r="H12" s="13" t="s">
        <v>10</v>
      </c>
      <c r="I12" t="s">
        <v>34</v>
      </c>
      <c r="L12"/>
      <c r="M12" s="10"/>
      <c r="N12" s="43" t="str">
        <f>IF(G12="","Incomplete",IF(OR(G12&lt;3,G264&gt;100),"Fail","OK"))</f>
        <v>OK</v>
      </c>
      <c r="O12" s="41" t="str">
        <f>IF(G12="",": blank input",IF(OR(G12&lt;3,G12&gt;100),": invalid input",": valid input"))</f>
        <v>: valid input</v>
      </c>
      <c r="P12" s="41"/>
      <c r="Q12" s="41"/>
      <c r="R12" s="41"/>
      <c r="S12" s="41"/>
      <c r="T12" s="41"/>
      <c r="U12" s="41"/>
      <c r="V12" s="41"/>
      <c r="W12" s="41"/>
      <c r="X12" s="41"/>
      <c r="Y12" s="41"/>
      <c r="Z12" s="41"/>
    </row>
    <row r="13" spans="1:26" ht="15.75" customHeight="1" x14ac:dyDescent="0.2">
      <c r="A13" s="11" t="s">
        <v>42</v>
      </c>
      <c r="B13"/>
      <c r="D13"/>
      <c r="F13" s="53" t="s">
        <v>135</v>
      </c>
      <c r="G13" s="6">
        <v>10</v>
      </c>
      <c r="H13" s="13" t="s">
        <v>10</v>
      </c>
      <c r="I13" t="s">
        <v>35</v>
      </c>
      <c r="L13" s="14"/>
      <c r="M13" s="10"/>
      <c r="N13" s="43" t="str">
        <f>IF(G13="","Incomplete",IF(OR(G13&lt;3,G13&gt;=2*(G12+G14)),"Fail","OK"))</f>
        <v>OK</v>
      </c>
      <c r="O13" s="41" t="str">
        <f>IF(G13="",": blank input",IF(OR(G13&lt;3,G13&gt;=2*(G12+G14)),": invalid input",": valid input"))</f>
        <v>: valid input</v>
      </c>
      <c r="P13" s="41"/>
      <c r="Q13" s="41"/>
      <c r="R13" s="41"/>
      <c r="S13" s="41"/>
      <c r="T13" s="41"/>
      <c r="U13" s="41"/>
      <c r="V13" s="41"/>
      <c r="W13" s="41"/>
      <c r="X13" s="41"/>
      <c r="Y13" s="41"/>
      <c r="Z13" s="41"/>
    </row>
    <row r="14" spans="1:26" ht="15.75" customHeight="1" x14ac:dyDescent="0.2">
      <c r="A14" s="11" t="s">
        <v>43</v>
      </c>
      <c r="B14"/>
      <c r="D14"/>
      <c r="F14" s="53" t="s">
        <v>136</v>
      </c>
      <c r="G14" s="6">
        <v>10</v>
      </c>
      <c r="H14" s="13" t="s">
        <v>10</v>
      </c>
      <c r="I14" t="s">
        <v>36</v>
      </c>
      <c r="L14"/>
      <c r="M14" s="10"/>
      <c r="N14" s="43" t="str">
        <f>IF(G14="","Incomplete",IF(OR(G14&lt;0,G14&gt;(G11-G13)/2),"Fail","OK"))</f>
        <v>OK</v>
      </c>
      <c r="O14" s="41" t="str">
        <f>IF(G14="",": blank input",IF(OR(G14&lt;0,G14&gt;(G11-G13)/2),": invalid input",": valid input"))</f>
        <v>: valid input</v>
      </c>
      <c r="P14" s="41"/>
      <c r="Q14" s="41"/>
      <c r="R14" s="41"/>
      <c r="S14" s="41"/>
      <c r="T14" s="41"/>
      <c r="U14" s="41"/>
      <c r="V14" s="41"/>
      <c r="W14" s="41"/>
      <c r="X14" s="41"/>
      <c r="Y14" s="41"/>
      <c r="Z14" s="41"/>
    </row>
    <row r="15" spans="1:26" ht="15.75" customHeight="1" x14ac:dyDescent="0.2">
      <c r="B15"/>
      <c r="C15"/>
      <c r="D15"/>
      <c r="E15"/>
      <c r="F15" s="38"/>
      <c r="J15" s="15"/>
      <c r="N15" s="41"/>
      <c r="O15" s="41"/>
      <c r="P15" s="41"/>
      <c r="Q15" s="41"/>
      <c r="R15" s="41"/>
      <c r="S15" s="41"/>
      <c r="T15" s="41"/>
      <c r="U15" s="41"/>
      <c r="V15" s="41"/>
      <c r="W15" s="41"/>
      <c r="X15" s="41"/>
      <c r="Y15" s="41"/>
      <c r="Z15" s="41"/>
    </row>
    <row r="16" spans="1:26" ht="15.75" customHeight="1" x14ac:dyDescent="0.2">
      <c r="A16" s="8" t="s">
        <v>82</v>
      </c>
      <c r="B16" s="8"/>
      <c r="C16" s="8"/>
      <c r="D16" s="8"/>
      <c r="E16" s="8"/>
      <c r="F16" s="8"/>
      <c r="G16" s="8"/>
      <c r="H16" s="8"/>
      <c r="I16" s="8"/>
      <c r="J16" s="8"/>
      <c r="K16" s="8"/>
      <c r="L16" s="8"/>
      <c r="M16" s="8"/>
      <c r="N16" s="41"/>
      <c r="O16" s="41"/>
      <c r="P16" s="41"/>
      <c r="Q16" s="41"/>
      <c r="R16" s="41"/>
      <c r="S16" s="41"/>
      <c r="T16" s="41"/>
      <c r="U16" s="41"/>
      <c r="V16" s="41"/>
      <c r="W16" s="41"/>
      <c r="X16" s="41"/>
      <c r="Y16" s="41"/>
      <c r="Z16" s="41"/>
    </row>
    <row r="17" spans="1:26" ht="15.75" customHeight="1" x14ac:dyDescent="0.2">
      <c r="I17" s="17" t="s">
        <v>38</v>
      </c>
      <c r="L17" s="17" t="s">
        <v>23</v>
      </c>
      <c r="N17" s="41"/>
      <c r="O17" s="41"/>
      <c r="P17" s="41"/>
      <c r="Q17" s="41"/>
      <c r="R17" s="41"/>
      <c r="S17" s="41"/>
      <c r="T17" s="41"/>
      <c r="U17" s="41"/>
      <c r="V17" s="41"/>
      <c r="W17" s="41"/>
      <c r="X17" s="41"/>
      <c r="Y17" s="41"/>
      <c r="Z17" s="41"/>
    </row>
    <row r="18" spans="1:26" ht="15.75" customHeight="1" x14ac:dyDescent="0.35">
      <c r="A18" s="11" t="s">
        <v>110</v>
      </c>
      <c r="D18" s="16"/>
      <c r="F18" s="37" t="s">
        <v>17</v>
      </c>
      <c r="G18" s="20">
        <v>574303011.77403212</v>
      </c>
      <c r="H18" s="13" t="s">
        <v>18</v>
      </c>
      <c r="I18" t="s">
        <v>19</v>
      </c>
      <c r="L18" t="s">
        <v>11</v>
      </c>
      <c r="N18" s="41"/>
      <c r="O18" s="41"/>
      <c r="P18" s="41"/>
      <c r="Q18" s="41"/>
      <c r="R18" s="41"/>
      <c r="S18" s="41"/>
      <c r="T18" s="41"/>
      <c r="U18" s="41"/>
      <c r="V18" s="41"/>
      <c r="W18" s="41"/>
      <c r="X18" s="41"/>
      <c r="Y18" s="41"/>
      <c r="Z18" s="41"/>
    </row>
    <row r="19" spans="1:26" ht="15.75" customHeight="1" x14ac:dyDescent="0.35">
      <c r="A19" s="11" t="s">
        <v>110</v>
      </c>
      <c r="D19" s="16"/>
      <c r="F19" s="37" t="s">
        <v>20</v>
      </c>
      <c r="G19" s="21">
        <v>2252168.6736236555</v>
      </c>
      <c r="H19" s="13" t="s">
        <v>21</v>
      </c>
      <c r="I19" t="s">
        <v>37</v>
      </c>
      <c r="L19" t="s">
        <v>11</v>
      </c>
      <c r="N19" s="41"/>
      <c r="O19" s="41"/>
      <c r="P19" s="41"/>
      <c r="Q19" s="41"/>
      <c r="R19" s="41"/>
      <c r="S19" s="41"/>
      <c r="T19" s="41"/>
      <c r="U19" s="41"/>
      <c r="V19" s="41"/>
      <c r="W19" s="41"/>
      <c r="X19" s="41"/>
      <c r="Y19" s="41"/>
      <c r="Z19" s="41"/>
    </row>
    <row r="20" spans="1:26" ht="15.75" customHeight="1" x14ac:dyDescent="0.35">
      <c r="A20" s="11" t="s">
        <v>110</v>
      </c>
      <c r="D20" s="16"/>
      <c r="F20" s="37" t="s">
        <v>22</v>
      </c>
      <c r="G20" s="21">
        <v>2528014.2363106101</v>
      </c>
      <c r="H20" s="13" t="s">
        <v>21</v>
      </c>
      <c r="I20" t="s">
        <v>19</v>
      </c>
      <c r="L20" t="s">
        <v>11</v>
      </c>
      <c r="N20" s="41"/>
      <c r="O20" s="41"/>
      <c r="P20" s="41"/>
      <c r="Q20" s="41"/>
      <c r="R20" s="41"/>
      <c r="S20" s="41"/>
      <c r="T20" s="41"/>
      <c r="U20" s="41"/>
      <c r="V20" s="41"/>
      <c r="W20" s="41"/>
      <c r="X20" s="41"/>
      <c r="Y20" s="41"/>
      <c r="Z20" s="41"/>
    </row>
    <row r="21" spans="1:26" ht="15.75" customHeight="1" x14ac:dyDescent="0.2">
      <c r="A21" s="11" t="s">
        <v>110</v>
      </c>
      <c r="D21" s="16"/>
      <c r="F21" s="37" t="s">
        <v>104</v>
      </c>
      <c r="G21" s="54">
        <v>123</v>
      </c>
      <c r="H21" s="10" t="s">
        <v>106</v>
      </c>
      <c r="I21" t="s">
        <v>19</v>
      </c>
      <c r="L21"/>
      <c r="N21" s="41"/>
      <c r="O21" s="41"/>
      <c r="P21" s="41"/>
      <c r="Q21" s="41"/>
      <c r="R21" s="41"/>
      <c r="S21" s="41"/>
      <c r="T21" s="41"/>
      <c r="U21" s="41"/>
      <c r="V21" s="41"/>
      <c r="W21" s="41"/>
      <c r="X21" s="41"/>
      <c r="Y21" s="41"/>
      <c r="Z21" s="41"/>
    </row>
    <row r="22" spans="1:26" ht="15.75" customHeight="1" x14ac:dyDescent="0.2">
      <c r="A22" s="11" t="s">
        <v>110</v>
      </c>
      <c r="D22" s="16"/>
      <c r="F22" s="37" t="s">
        <v>105</v>
      </c>
      <c r="G22" s="54">
        <v>123</v>
      </c>
      <c r="H22" s="10" t="s">
        <v>106</v>
      </c>
      <c r="I22" t="s">
        <v>19</v>
      </c>
      <c r="L22"/>
      <c r="N22" s="41"/>
      <c r="O22" s="41"/>
      <c r="P22" s="41"/>
      <c r="Q22" s="41"/>
      <c r="R22" s="41"/>
      <c r="S22" s="41"/>
      <c r="T22" s="41"/>
      <c r="U22" s="41"/>
      <c r="V22" s="41"/>
      <c r="W22" s="41"/>
      <c r="X22" s="41"/>
      <c r="Y22" s="41"/>
      <c r="Z22" s="41"/>
    </row>
    <row r="23" spans="1:26" ht="15.75" customHeight="1" x14ac:dyDescent="0.2">
      <c r="N23" s="41"/>
      <c r="O23" s="41"/>
      <c r="P23" s="41"/>
      <c r="Q23" s="41"/>
      <c r="R23" s="41"/>
      <c r="S23" s="41"/>
      <c r="T23" s="41"/>
      <c r="U23" s="41"/>
      <c r="V23" s="41"/>
      <c r="W23" s="41"/>
      <c r="X23" s="41"/>
      <c r="Y23" s="41"/>
      <c r="Z23" s="41"/>
    </row>
    <row r="24" spans="1:26" ht="15.75" customHeight="1" x14ac:dyDescent="0.2">
      <c r="A24" s="8" t="s">
        <v>45</v>
      </c>
      <c r="B24" s="8"/>
      <c r="C24" s="8"/>
      <c r="D24" s="8"/>
      <c r="E24" s="8"/>
      <c r="F24" s="8"/>
      <c r="G24" s="8"/>
      <c r="H24" s="8"/>
      <c r="I24" s="8"/>
      <c r="J24" s="8"/>
      <c r="K24" s="8"/>
      <c r="L24" s="8"/>
      <c r="M24" s="8"/>
      <c r="N24" s="41"/>
      <c r="O24" s="41"/>
      <c r="P24" s="41"/>
      <c r="Q24" s="41"/>
      <c r="R24" s="41"/>
      <c r="S24" s="41"/>
      <c r="T24" s="41"/>
      <c r="U24" s="41"/>
      <c r="V24" s="41"/>
      <c r="W24" s="41"/>
      <c r="X24" s="41"/>
      <c r="Y24" s="41"/>
      <c r="Z24" s="41"/>
    </row>
    <row r="25" spans="1:26" s="12" customFormat="1" ht="15.75" customHeight="1" x14ac:dyDescent="0.2">
      <c r="A25" s="7" t="s">
        <v>44</v>
      </c>
      <c r="B25" s="7"/>
      <c r="C25" s="7"/>
      <c r="D25" s="7"/>
      <c r="E25" s="7"/>
      <c r="F25" s="7"/>
      <c r="G25" s="7"/>
      <c r="H25" s="7"/>
      <c r="I25" s="7"/>
      <c r="J25" s="7"/>
      <c r="K25" s="7"/>
      <c r="L25" s="7"/>
      <c r="M25" s="7"/>
      <c r="N25" s="42"/>
      <c r="O25" s="42"/>
      <c r="P25" s="42"/>
      <c r="Q25" s="42"/>
      <c r="R25" s="42"/>
      <c r="S25" s="42"/>
      <c r="T25" s="42"/>
      <c r="U25" s="42"/>
      <c r="V25" s="42"/>
      <c r="W25" s="42"/>
      <c r="X25" s="42"/>
      <c r="Y25" s="42"/>
      <c r="Z25" s="42"/>
    </row>
    <row r="26" spans="1:26" ht="15.75" customHeight="1" x14ac:dyDescent="0.2">
      <c r="I26" s="17" t="s">
        <v>25</v>
      </c>
      <c r="J26" s="19"/>
      <c r="K26" s="19"/>
      <c r="L26" s="17" t="s">
        <v>23</v>
      </c>
      <c r="M26" s="10"/>
      <c r="N26" s="41"/>
      <c r="O26" s="41"/>
      <c r="P26" s="41"/>
      <c r="Q26" s="41"/>
      <c r="R26" s="41"/>
      <c r="S26" s="41"/>
      <c r="T26" s="41"/>
      <c r="U26" s="41"/>
      <c r="V26" s="41"/>
      <c r="W26" s="41"/>
      <c r="X26" s="41"/>
      <c r="Y26" s="41"/>
      <c r="Z26" s="41"/>
    </row>
    <row r="27" spans="1:26" ht="15.75" customHeight="1" x14ac:dyDescent="0.2">
      <c r="A27" s="11" t="s">
        <v>111</v>
      </c>
      <c r="D27" s="16"/>
      <c r="F27" s="39" t="s">
        <v>70</v>
      </c>
      <c r="G27" s="80">
        <v>568.8032031698873</v>
      </c>
      <c r="H27" s="13" t="s">
        <v>12</v>
      </c>
      <c r="I27" s="44" t="s">
        <v>87</v>
      </c>
      <c r="L27" t="s">
        <v>13</v>
      </c>
      <c r="M27" s="48" t="str">
        <f>IF(G27&gt;300,"PASS","FAIL")</f>
        <v>PASS</v>
      </c>
      <c r="N27" s="41"/>
      <c r="O27" s="41"/>
      <c r="P27" s="41"/>
      <c r="Q27" s="41"/>
      <c r="R27" s="41"/>
      <c r="S27" s="41"/>
      <c r="T27" s="41"/>
      <c r="U27" s="41"/>
      <c r="V27" s="41"/>
      <c r="W27" s="41"/>
      <c r="X27" s="41"/>
      <c r="Y27" s="41"/>
      <c r="Z27" s="41"/>
    </row>
    <row r="28" spans="1:26" ht="15.75" customHeight="1" x14ac:dyDescent="0.2">
      <c r="A28" s="11" t="s">
        <v>111</v>
      </c>
      <c r="D28" s="16"/>
      <c r="F28" s="39" t="s">
        <v>71</v>
      </c>
      <c r="G28" s="80">
        <v>426.45351496767472</v>
      </c>
      <c r="H28" s="13" t="s">
        <v>12</v>
      </c>
      <c r="I28" s="44" t="s">
        <v>88</v>
      </c>
      <c r="L28" t="s">
        <v>13</v>
      </c>
      <c r="M28" s="48" t="str">
        <f>IF(G28&gt;300,"PASS","FAIL")</f>
        <v>PASS</v>
      </c>
      <c r="N28" s="41"/>
      <c r="O28" s="41"/>
      <c r="P28" s="41"/>
      <c r="Q28" s="41"/>
      <c r="R28" s="41"/>
      <c r="S28" s="41"/>
      <c r="T28" s="41"/>
      <c r="U28" s="41"/>
      <c r="V28" s="41"/>
      <c r="W28" s="41"/>
      <c r="X28" s="41"/>
      <c r="Y28" s="41"/>
      <c r="Z28" s="41"/>
    </row>
    <row r="29" spans="1:26" ht="15.75" customHeight="1" x14ac:dyDescent="0.2">
      <c r="A29" s="11" t="s">
        <v>111</v>
      </c>
      <c r="D29" s="16"/>
      <c r="F29" s="39" t="s">
        <v>72</v>
      </c>
      <c r="G29" s="80">
        <v>108.16794670052386</v>
      </c>
      <c r="H29" s="13" t="s">
        <v>12</v>
      </c>
      <c r="I29" s="44" t="s">
        <v>89</v>
      </c>
      <c r="L29" t="s">
        <v>13</v>
      </c>
      <c r="M29" s="10" t="str">
        <f>IF(G29&gt;300,"PASS","FAIL")</f>
        <v>FAIL</v>
      </c>
      <c r="N29" s="41"/>
      <c r="O29" s="41"/>
      <c r="P29" s="41"/>
      <c r="Q29" s="41"/>
      <c r="R29" s="41"/>
      <c r="S29" s="41"/>
      <c r="T29" s="41"/>
      <c r="U29" s="41"/>
      <c r="V29" s="41"/>
      <c r="W29" s="41"/>
      <c r="X29" s="41"/>
      <c r="Y29" s="41"/>
      <c r="Z29" s="41"/>
    </row>
    <row r="30" spans="1:26" ht="15.75" customHeight="1" x14ac:dyDescent="0.2">
      <c r="A30" s="11" t="s">
        <v>111</v>
      </c>
      <c r="D30" s="16"/>
      <c r="F30" s="39" t="s">
        <v>73</v>
      </c>
      <c r="G30" s="80">
        <v>645.30000000000007</v>
      </c>
      <c r="H30" s="13" t="s">
        <v>14</v>
      </c>
      <c r="I30" s="44" t="s">
        <v>90</v>
      </c>
      <c r="L30" t="s">
        <v>15</v>
      </c>
      <c r="M30" s="48" t="str">
        <f>IF(G30&gt;300,"PASS","FAIL")</f>
        <v>PASS</v>
      </c>
      <c r="N30" s="41"/>
      <c r="O30" s="41"/>
      <c r="P30" s="41"/>
      <c r="Q30" s="41"/>
      <c r="R30" s="41"/>
      <c r="S30" s="41"/>
      <c r="T30" s="41"/>
      <c r="U30" s="41"/>
      <c r="V30" s="41"/>
      <c r="W30" s="41"/>
      <c r="X30" s="41"/>
      <c r="Y30" s="41"/>
      <c r="Z30" s="41"/>
    </row>
    <row r="31" spans="1:26" ht="15.75" customHeight="1" x14ac:dyDescent="0.2">
      <c r="A31" s="11" t="s">
        <v>111</v>
      </c>
      <c r="D31" s="16"/>
      <c r="F31" s="39" t="s">
        <v>74</v>
      </c>
      <c r="G31" s="80">
        <v>2570.8141652942295</v>
      </c>
      <c r="H31" s="13" t="s">
        <v>14</v>
      </c>
      <c r="I31" s="44" t="s">
        <v>91</v>
      </c>
      <c r="L31" t="s">
        <v>16</v>
      </c>
      <c r="M31" s="48" t="str">
        <f>IF(G31&gt;300,"PASS","FAIL")</f>
        <v>PASS</v>
      </c>
      <c r="N31" s="41"/>
      <c r="O31" s="41"/>
      <c r="P31" s="41"/>
      <c r="Q31" s="41"/>
      <c r="R31" s="41"/>
      <c r="S31" s="41"/>
      <c r="T31" s="41"/>
      <c r="U31" s="41"/>
      <c r="V31" s="41"/>
      <c r="W31" s="41"/>
      <c r="X31" s="41"/>
      <c r="Y31" s="41"/>
      <c r="Z31" s="41"/>
    </row>
    <row r="32" spans="1:26" ht="15.75" customHeight="1" x14ac:dyDescent="0.2">
      <c r="A32" s="11" t="s">
        <v>111</v>
      </c>
      <c r="D32" s="16"/>
      <c r="F32" s="53" t="s">
        <v>107</v>
      </c>
      <c r="G32" s="80">
        <v>500</v>
      </c>
      <c r="H32" s="10" t="s">
        <v>14</v>
      </c>
      <c r="I32" s="44" t="s">
        <v>108</v>
      </c>
      <c r="L32" t="s">
        <v>109</v>
      </c>
      <c r="M32" s="48" t="str">
        <f>IF(G32&gt;G21,"PASS","FAIL")</f>
        <v>PASS</v>
      </c>
      <c r="N32" s="41"/>
      <c r="O32" s="41"/>
      <c r="P32" s="41"/>
      <c r="Q32" s="41"/>
      <c r="R32" s="41"/>
      <c r="S32" s="41"/>
      <c r="T32" s="41"/>
      <c r="U32" s="41"/>
      <c r="V32" s="41"/>
      <c r="W32" s="41"/>
      <c r="X32" s="41"/>
      <c r="Y32" s="41"/>
      <c r="Z32" s="41"/>
    </row>
    <row r="33" spans="1:26" ht="15.75" customHeight="1" x14ac:dyDescent="0.2">
      <c r="N33" s="41"/>
      <c r="O33" s="41"/>
      <c r="P33" s="41"/>
      <c r="Q33" s="41"/>
      <c r="R33" s="41"/>
      <c r="S33" s="41"/>
      <c r="T33" s="41"/>
      <c r="U33" s="41"/>
      <c r="V33" s="41"/>
      <c r="W33" s="41"/>
      <c r="X33" s="41"/>
      <c r="Y33" s="41"/>
      <c r="Z33" s="41"/>
    </row>
    <row r="34" spans="1:26" ht="15.75" customHeight="1" x14ac:dyDescent="0.2">
      <c r="A34" s="8" t="s">
        <v>50</v>
      </c>
      <c r="B34" s="8"/>
      <c r="C34" s="8"/>
      <c r="D34" s="8"/>
      <c r="E34" s="8"/>
      <c r="F34" s="8"/>
      <c r="G34" s="8"/>
      <c r="H34" s="8"/>
      <c r="I34" s="8"/>
      <c r="J34" s="8"/>
      <c r="K34" s="8"/>
      <c r="L34" s="8"/>
      <c r="M34" s="8"/>
      <c r="N34" s="41"/>
      <c r="O34" s="41"/>
      <c r="P34" s="41"/>
      <c r="Q34" s="41"/>
      <c r="R34" s="41"/>
      <c r="S34" s="41"/>
      <c r="T34" s="41"/>
      <c r="U34" s="41"/>
      <c r="V34" s="41"/>
      <c r="W34" s="41"/>
      <c r="X34" s="41"/>
      <c r="Y34" s="41"/>
      <c r="Z34" s="41"/>
    </row>
    <row r="35" spans="1:26" ht="15.75" customHeight="1" x14ac:dyDescent="0.2">
      <c r="A35" t="s">
        <v>115</v>
      </c>
      <c r="B35"/>
      <c r="C35"/>
      <c r="D35"/>
      <c r="E35"/>
      <c r="F35"/>
      <c r="G35"/>
      <c r="H35"/>
      <c r="I35"/>
      <c r="J35"/>
      <c r="K35"/>
      <c r="L35"/>
      <c r="M35"/>
      <c r="N35" s="41"/>
      <c r="O35" s="41"/>
      <c r="P35" s="41"/>
      <c r="Q35" s="41"/>
      <c r="R35" s="41"/>
      <c r="S35" s="41"/>
      <c r="T35" s="41"/>
      <c r="U35" s="41"/>
      <c r="V35" s="41"/>
      <c r="W35" s="41"/>
      <c r="X35" s="41"/>
      <c r="Y35" s="41"/>
      <c r="Z35" s="41"/>
    </row>
    <row r="36" spans="1:26" ht="15.75" customHeight="1" x14ac:dyDescent="0.2">
      <c r="A36" t="s">
        <v>115</v>
      </c>
      <c r="B36"/>
      <c r="C36"/>
      <c r="D36"/>
      <c r="E36"/>
      <c r="F36"/>
      <c r="G36"/>
      <c r="H36"/>
      <c r="I36"/>
      <c r="J36"/>
      <c r="K36"/>
      <c r="L36"/>
      <c r="M36"/>
      <c r="N36" s="41"/>
      <c r="O36" s="41"/>
      <c r="P36" s="41"/>
      <c r="Q36" s="41"/>
      <c r="R36" s="41"/>
      <c r="S36" s="41"/>
      <c r="T36" s="41"/>
      <c r="U36" s="41"/>
      <c r="V36" s="41"/>
      <c r="W36" s="41"/>
      <c r="X36" s="41"/>
      <c r="Y36" s="41"/>
      <c r="Z36" s="41"/>
    </row>
    <row r="37" spans="1:26" ht="15.75" customHeight="1" x14ac:dyDescent="0.2">
      <c r="A37" t="s">
        <v>115</v>
      </c>
      <c r="B37"/>
      <c r="C37"/>
      <c r="D37"/>
      <c r="E37"/>
      <c r="F37"/>
      <c r="G37"/>
      <c r="H37"/>
      <c r="I37"/>
      <c r="J37"/>
      <c r="K37"/>
      <c r="L37"/>
      <c r="M37"/>
      <c r="N37" s="41"/>
      <c r="O37" s="41"/>
      <c r="P37" s="41"/>
      <c r="Q37" s="41"/>
      <c r="R37" s="41"/>
      <c r="S37" s="41"/>
      <c r="T37" s="41"/>
      <c r="U37" s="41"/>
      <c r="V37" s="41"/>
      <c r="W37" s="41"/>
      <c r="X37" s="41"/>
      <c r="Y37" s="41"/>
      <c r="Z37" s="41"/>
    </row>
    <row r="38" spans="1:26" ht="15.75" customHeight="1" x14ac:dyDescent="0.2">
      <c r="A38" t="s">
        <v>115</v>
      </c>
      <c r="B38"/>
      <c r="C38"/>
      <c r="D38"/>
      <c r="E38"/>
      <c r="F38"/>
      <c r="G38"/>
      <c r="H38"/>
      <c r="I38"/>
      <c r="J38"/>
      <c r="K38"/>
      <c r="L38"/>
      <c r="M38"/>
      <c r="N38" s="41"/>
      <c r="O38" s="41"/>
      <c r="P38" s="41"/>
      <c r="Q38" s="41"/>
      <c r="R38" s="41"/>
      <c r="S38" s="41"/>
      <c r="T38" s="41"/>
      <c r="U38" s="41"/>
      <c r="V38" s="41"/>
      <c r="W38" s="41"/>
      <c r="X38" s="41"/>
      <c r="Y38" s="41"/>
      <c r="Z38" s="41"/>
    </row>
    <row r="39" spans="1:26" ht="15.75" customHeight="1" x14ac:dyDescent="0.2">
      <c r="A39" t="s">
        <v>115</v>
      </c>
      <c r="B39"/>
      <c r="C39"/>
      <c r="D39"/>
      <c r="E39"/>
      <c r="F39"/>
      <c r="G39"/>
      <c r="H39"/>
      <c r="I39"/>
      <c r="J39"/>
      <c r="K39"/>
      <c r="L39"/>
      <c r="M39"/>
      <c r="N39" s="41"/>
      <c r="O39" s="41"/>
      <c r="P39" s="41"/>
      <c r="Q39" s="41"/>
      <c r="R39" s="41"/>
      <c r="S39" s="41"/>
      <c r="T39" s="41"/>
      <c r="U39" s="41"/>
      <c r="V39" s="41"/>
      <c r="W39" s="41"/>
      <c r="X39" s="41"/>
      <c r="Y39" s="41"/>
      <c r="Z39" s="41"/>
    </row>
    <row r="40" spans="1:26" ht="15.75" customHeight="1" x14ac:dyDescent="0.2">
      <c r="A40" t="s">
        <v>115</v>
      </c>
      <c r="B40"/>
      <c r="C40"/>
      <c r="D40"/>
      <c r="E40"/>
      <c r="F40"/>
      <c r="G40"/>
      <c r="H40"/>
      <c r="I40"/>
      <c r="J40"/>
      <c r="K40"/>
      <c r="L40"/>
      <c r="M40"/>
      <c r="N40" s="41"/>
      <c r="O40" s="41"/>
      <c r="P40" s="41"/>
      <c r="Q40" s="41"/>
      <c r="R40" s="41"/>
      <c r="S40" s="41"/>
      <c r="T40" s="41"/>
      <c r="U40" s="41"/>
      <c r="V40" s="41"/>
      <c r="W40" s="41"/>
      <c r="X40" s="41"/>
      <c r="Y40" s="41"/>
      <c r="Z40" s="41"/>
    </row>
    <row r="41" spans="1:26" ht="15.75" customHeight="1" x14ac:dyDescent="0.2">
      <c r="A41" t="s">
        <v>115</v>
      </c>
      <c r="B41"/>
      <c r="C41"/>
      <c r="D41"/>
      <c r="E41"/>
      <c r="F41"/>
      <c r="G41"/>
      <c r="H41"/>
      <c r="I41"/>
      <c r="J41"/>
      <c r="K41"/>
      <c r="L41"/>
      <c r="M41"/>
      <c r="N41" s="41"/>
      <c r="O41" s="41"/>
      <c r="P41" s="41"/>
      <c r="Q41" s="41"/>
      <c r="R41" s="41"/>
      <c r="S41" s="41"/>
      <c r="T41" s="41"/>
      <c r="U41" s="41"/>
      <c r="V41" s="41"/>
      <c r="W41" s="41"/>
      <c r="X41" s="41"/>
      <c r="Y41" s="41"/>
      <c r="Z41" s="41"/>
    </row>
    <row r="42" spans="1:26" ht="15.75" customHeight="1" x14ac:dyDescent="0.2">
      <c r="A42" t="s">
        <v>115</v>
      </c>
      <c r="B42"/>
      <c r="C42"/>
      <c r="D42"/>
      <c r="E42"/>
      <c r="F42"/>
      <c r="G42"/>
      <c r="H42"/>
      <c r="I42"/>
      <c r="J42"/>
      <c r="K42"/>
      <c r="L42"/>
      <c r="M42"/>
      <c r="N42" s="41"/>
      <c r="O42" s="41"/>
      <c r="P42" s="41"/>
      <c r="Q42" s="41"/>
      <c r="R42" s="41"/>
      <c r="S42" s="41"/>
      <c r="T42" s="41"/>
      <c r="U42" s="41"/>
      <c r="V42" s="41"/>
      <c r="W42" s="41"/>
      <c r="X42" s="41"/>
      <c r="Y42" s="41"/>
      <c r="Z42" s="41"/>
    </row>
    <row r="43" spans="1:26" ht="15.75" customHeight="1" x14ac:dyDescent="0.2">
      <c r="A43" t="s">
        <v>115</v>
      </c>
      <c r="B43"/>
      <c r="C43"/>
      <c r="D43"/>
      <c r="E43"/>
      <c r="F43"/>
      <c r="G43"/>
      <c r="H43"/>
      <c r="I43"/>
      <c r="J43"/>
      <c r="K43"/>
      <c r="L43"/>
      <c r="M43"/>
      <c r="N43" s="41"/>
      <c r="O43" s="41"/>
      <c r="P43" s="41"/>
      <c r="Q43" s="41"/>
      <c r="R43" s="41"/>
      <c r="S43" s="41"/>
      <c r="T43" s="41"/>
      <c r="U43" s="41"/>
      <c r="V43" s="41"/>
      <c r="W43" s="41"/>
      <c r="X43" s="41"/>
      <c r="Y43" s="41"/>
      <c r="Z43" s="41"/>
    </row>
    <row r="44" spans="1:26" ht="15.75" customHeight="1" x14ac:dyDescent="0.2">
      <c r="A44" t="s">
        <v>115</v>
      </c>
      <c r="B44"/>
      <c r="C44"/>
      <c r="D44"/>
      <c r="E44"/>
      <c r="F44"/>
      <c r="G44"/>
      <c r="H44"/>
      <c r="I44"/>
      <c r="J44"/>
      <c r="K44"/>
      <c r="L44"/>
      <c r="M44"/>
      <c r="N44" s="41"/>
      <c r="O44" s="41"/>
      <c r="P44" s="41"/>
      <c r="Q44" s="41"/>
      <c r="R44" s="41"/>
      <c r="S44" s="41"/>
      <c r="T44" s="41"/>
      <c r="U44" s="41"/>
      <c r="V44" s="41"/>
      <c r="W44" s="41"/>
      <c r="X44" s="41"/>
      <c r="Y44" s="41"/>
      <c r="Z44" s="41"/>
    </row>
    <row r="45" spans="1:26" ht="15.75" customHeight="1" x14ac:dyDescent="0.2">
      <c r="A45" t="s">
        <v>115</v>
      </c>
      <c r="B45"/>
      <c r="C45"/>
      <c r="D45"/>
      <c r="E45"/>
      <c r="F45"/>
      <c r="G45"/>
      <c r="H45"/>
      <c r="I45"/>
      <c r="J45"/>
      <c r="K45"/>
      <c r="L45"/>
      <c r="M45"/>
      <c r="N45" s="41"/>
      <c r="O45" s="41"/>
      <c r="P45" s="41"/>
      <c r="Q45" s="41"/>
      <c r="R45" s="41"/>
      <c r="S45" s="41"/>
      <c r="T45" s="41"/>
      <c r="U45" s="41"/>
      <c r="V45" s="41"/>
      <c r="W45" s="41"/>
      <c r="X45" s="41"/>
      <c r="Y45" s="41"/>
      <c r="Z45" s="41"/>
    </row>
    <row r="46" spans="1:26" ht="15.75" customHeight="1" x14ac:dyDescent="0.2">
      <c r="A46" t="s">
        <v>115</v>
      </c>
      <c r="B46"/>
      <c r="C46"/>
      <c r="D46"/>
      <c r="E46"/>
      <c r="F46"/>
      <c r="G46"/>
      <c r="H46"/>
      <c r="I46"/>
      <c r="J46"/>
      <c r="K46"/>
      <c r="L46"/>
      <c r="M46"/>
      <c r="N46" s="41"/>
      <c r="O46" s="41"/>
      <c r="P46" s="41"/>
      <c r="Q46" s="41"/>
      <c r="R46" s="41"/>
      <c r="S46" s="41"/>
      <c r="T46" s="41"/>
      <c r="U46" s="41"/>
      <c r="V46" s="41"/>
      <c r="W46" s="41"/>
      <c r="X46" s="41"/>
      <c r="Y46" s="41"/>
      <c r="Z46" s="41"/>
    </row>
    <row r="47" spans="1:26" ht="15.75" customHeight="1" x14ac:dyDescent="0.2">
      <c r="A47" t="s">
        <v>115</v>
      </c>
      <c r="B47"/>
      <c r="C47"/>
      <c r="D47"/>
      <c r="E47"/>
      <c r="F47"/>
      <c r="G47"/>
      <c r="H47"/>
      <c r="I47"/>
      <c r="J47"/>
      <c r="K47"/>
      <c r="L47"/>
      <c r="M47"/>
      <c r="N47" s="41"/>
      <c r="O47" s="41"/>
      <c r="P47" s="41"/>
      <c r="Q47" s="41"/>
      <c r="R47" s="41"/>
      <c r="S47" s="41"/>
      <c r="T47" s="41"/>
      <c r="U47" s="41"/>
      <c r="V47" s="41"/>
      <c r="W47" s="41"/>
      <c r="X47" s="41"/>
      <c r="Y47" s="41"/>
      <c r="Z47" s="41"/>
    </row>
    <row r="48" spans="1:26" ht="15.75" customHeight="1" x14ac:dyDescent="0.2">
      <c r="A48" t="s">
        <v>115</v>
      </c>
      <c r="B48"/>
      <c r="C48"/>
      <c r="D48"/>
      <c r="E48"/>
      <c r="F48"/>
      <c r="G48"/>
      <c r="H48"/>
      <c r="I48"/>
      <c r="J48"/>
      <c r="K48"/>
      <c r="L48"/>
      <c r="M48"/>
      <c r="N48" s="41"/>
      <c r="O48" s="41"/>
      <c r="P48" s="41"/>
      <c r="Q48" s="41"/>
      <c r="R48" s="41"/>
      <c r="S48" s="41"/>
      <c r="T48" s="41"/>
      <c r="U48" s="41"/>
      <c r="V48" s="41"/>
      <c r="W48" s="41"/>
      <c r="X48" s="41"/>
      <c r="Y48" s="41"/>
      <c r="Z48" s="41"/>
    </row>
    <row r="49" spans="1:26" ht="15.75" customHeight="1" x14ac:dyDescent="0.2">
      <c r="A49" t="s">
        <v>115</v>
      </c>
      <c r="B49"/>
      <c r="C49"/>
      <c r="D49"/>
      <c r="E49"/>
      <c r="F49"/>
      <c r="G49"/>
      <c r="H49"/>
      <c r="I49"/>
      <c r="J49"/>
      <c r="K49"/>
      <c r="L49"/>
      <c r="M49"/>
      <c r="N49" s="41"/>
      <c r="O49" s="41"/>
      <c r="P49" s="41"/>
      <c r="Q49" s="41"/>
      <c r="R49" s="41"/>
      <c r="S49" s="41"/>
      <c r="T49" s="41"/>
      <c r="U49" s="41"/>
      <c r="V49" s="41"/>
      <c r="W49" s="41"/>
      <c r="X49" s="41"/>
      <c r="Y49" s="41"/>
      <c r="Z49" s="41"/>
    </row>
    <row r="50" spans="1:26" ht="15.75" customHeight="1" x14ac:dyDescent="0.2">
      <c r="A50" t="s">
        <v>115</v>
      </c>
      <c r="B50"/>
      <c r="C50"/>
      <c r="D50"/>
      <c r="E50"/>
      <c r="F50"/>
      <c r="G50"/>
      <c r="H50"/>
      <c r="I50"/>
      <c r="J50"/>
      <c r="K50"/>
      <c r="L50"/>
      <c r="M50"/>
      <c r="N50" s="41"/>
      <c r="O50" s="41"/>
      <c r="P50" s="41"/>
      <c r="Q50" s="41"/>
      <c r="R50" s="41"/>
      <c r="S50" s="41"/>
      <c r="T50" s="41"/>
      <c r="U50" s="41"/>
      <c r="V50" s="41"/>
      <c r="W50" s="41"/>
      <c r="X50" s="41"/>
      <c r="Y50" s="41"/>
      <c r="Z50" s="41"/>
    </row>
  </sheetData>
  <sheetProtection sheet="1" objects="1" scenarios="1"/>
  <mergeCells count="1">
    <mergeCell ref="N9:O9"/>
  </mergeCells>
  <phoneticPr fontId="8" type="noConversion"/>
  <conditionalFormatting sqref="N10:N14">
    <cfRule type="cellIs" dxfId="25" priority="16" stopIfTrue="1" operator="equal">
      <formula>"Fail"</formula>
    </cfRule>
    <cfRule type="cellIs" dxfId="24" priority="17" stopIfTrue="1" operator="equal">
      <formula>"Incomplete"</formula>
    </cfRule>
  </conditionalFormatting>
  <conditionalFormatting sqref="G10:G14">
    <cfRule type="expression" dxfId="23" priority="18" stopIfTrue="1">
      <formula>Section_Selection&lt;&gt;1</formula>
    </cfRule>
  </conditionalFormatting>
  <conditionalFormatting sqref="M27">
    <cfRule type="cellIs" dxfId="22" priority="11" stopIfTrue="1" operator="between">
      <formula>"PASS"</formula>
      <formula>"JUST PASS"</formula>
    </cfRule>
    <cfRule type="cellIs" dxfId="21" priority="12" stopIfTrue="1" operator="between">
      <formula>"FAIL"</formula>
      <formula>"JUST FAIL"</formula>
    </cfRule>
  </conditionalFormatting>
  <conditionalFormatting sqref="M28">
    <cfRule type="cellIs" dxfId="20" priority="7" stopIfTrue="1" operator="between">
      <formula>"PASS"</formula>
      <formula>"JUST PASS"</formula>
    </cfRule>
    <cfRule type="cellIs" dxfId="19" priority="8" stopIfTrue="1" operator="between">
      <formula>"FAIL"</formula>
      <formula>"JUST FAIL"</formula>
    </cfRule>
  </conditionalFormatting>
  <conditionalFormatting sqref="M29">
    <cfRule type="cellIs" dxfId="18" priority="5" stopIfTrue="1" operator="between">
      <formula>"PASS"</formula>
      <formula>"JUST PASS"</formula>
    </cfRule>
    <cfRule type="cellIs" dxfId="17" priority="6" stopIfTrue="1" operator="between">
      <formula>"FAIL"</formula>
      <formula>"JUST FAIL"</formula>
    </cfRule>
  </conditionalFormatting>
  <conditionalFormatting sqref="M30">
    <cfRule type="cellIs" dxfId="16" priority="3" stopIfTrue="1" operator="between">
      <formula>"PASS"</formula>
      <formula>"JUST PASS"</formula>
    </cfRule>
    <cfRule type="cellIs" dxfId="15" priority="4" stopIfTrue="1" operator="between">
      <formula>"FAIL"</formula>
      <formula>"JUST FAIL"</formula>
    </cfRule>
  </conditionalFormatting>
  <conditionalFormatting sqref="M31:M32">
    <cfRule type="cellIs" dxfId="14" priority="1" stopIfTrue="1" operator="between">
      <formula>"PASS"</formula>
      <formula>"JUST PASS"</formula>
    </cfRule>
    <cfRule type="cellIs" dxfId="13" priority="2" stopIfTrue="1" operator="between">
      <formula>"FAIL"</formula>
      <formula>"JUST FAIL"</formula>
    </cfRule>
  </conditionalFormatting>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 r:id="rId3"/>
  <legacyDrawingHF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M9"/>
  <sheetViews>
    <sheetView tabSelected="1" topLeftCell="A14" zoomScaleNormal="100" workbookViewId="0"/>
  </sheetViews>
  <sheetFormatPr defaultColWidth="8.7109375" defaultRowHeight="15.75" customHeight="1" x14ac:dyDescent="0.2"/>
  <cols>
    <col min="1" max="16384" width="8.7109375" style="11"/>
  </cols>
  <sheetData>
    <row r="1" spans="1:13" ht="15.75" customHeight="1" x14ac:dyDescent="0.2">
      <c r="A1"/>
      <c r="B1" s="10"/>
      <c r="C1" s="10"/>
      <c r="D1" s="10"/>
      <c r="E1" s="10"/>
      <c r="F1" s="10"/>
      <c r="G1" s="10"/>
      <c r="H1" s="10"/>
      <c r="I1" s="10"/>
      <c r="J1" s="10"/>
      <c r="K1" s="10"/>
      <c r="L1" s="10"/>
      <c r="M1" s="10"/>
    </row>
    <row r="2" spans="1:13" ht="21" customHeight="1" x14ac:dyDescent="0.2">
      <c r="A2" s="10"/>
      <c r="B2" s="10"/>
      <c r="C2" s="10"/>
      <c r="D2" s="10"/>
      <c r="E2" s="10"/>
      <c r="F2" s="10"/>
      <c r="G2" s="10"/>
      <c r="H2" s="10"/>
      <c r="I2" s="10"/>
      <c r="J2" s="10"/>
      <c r="K2" s="10"/>
      <c r="L2" s="10"/>
      <c r="M2" s="10"/>
    </row>
    <row r="3" spans="1:13" ht="15.75" customHeight="1" x14ac:dyDescent="0.2">
      <c r="A3" s="10"/>
      <c r="B3" s="10"/>
      <c r="C3" s="10"/>
      <c r="D3" s="10"/>
      <c r="E3" s="10"/>
      <c r="F3" s="10"/>
      <c r="G3" s="10"/>
      <c r="H3" s="10"/>
      <c r="I3" s="10"/>
      <c r="J3" s="10"/>
      <c r="K3" s="10"/>
      <c r="L3" s="10"/>
      <c r="M3" s="10"/>
    </row>
    <row r="4" spans="1:13" ht="22.5" customHeight="1" x14ac:dyDescent="0.2">
      <c r="A4" s="10"/>
      <c r="B4" s="10"/>
      <c r="C4" s="10"/>
      <c r="D4" s="10"/>
      <c r="E4" s="10"/>
      <c r="F4" s="10"/>
      <c r="G4" s="10"/>
      <c r="H4" s="10"/>
      <c r="I4" s="10"/>
      <c r="J4" s="10"/>
      <c r="K4" s="10"/>
      <c r="L4" s="10"/>
      <c r="M4" s="10"/>
    </row>
    <row r="5" spans="1:13" ht="22.5" customHeight="1" x14ac:dyDescent="0.2">
      <c r="A5" s="10"/>
      <c r="B5" s="10"/>
      <c r="C5" s="10"/>
      <c r="D5" s="10"/>
      <c r="E5" s="10"/>
      <c r="F5" s="10"/>
      <c r="G5" s="10"/>
      <c r="H5" s="10"/>
      <c r="I5" s="10"/>
      <c r="J5" s="10"/>
      <c r="K5" s="10"/>
      <c r="L5" s="10"/>
      <c r="M5" s="10"/>
    </row>
    <row r="6" spans="1:13" ht="22.5" customHeight="1" x14ac:dyDescent="0.2">
      <c r="A6" s="10"/>
      <c r="B6" s="10"/>
      <c r="C6" s="10"/>
      <c r="D6" s="10"/>
      <c r="E6" s="10"/>
      <c r="F6" s="10"/>
      <c r="G6" s="10"/>
      <c r="H6" s="10"/>
      <c r="I6" s="10"/>
      <c r="J6" s="10"/>
      <c r="K6" s="10"/>
      <c r="L6" s="10"/>
      <c r="M6" s="10"/>
    </row>
    <row r="7" spans="1:13" ht="15.75" customHeight="1" x14ac:dyDescent="0.2">
      <c r="A7" s="8" t="s">
        <v>52</v>
      </c>
      <c r="B7" s="8"/>
      <c r="C7" s="8"/>
      <c r="D7" s="8"/>
      <c r="E7" s="8"/>
      <c r="F7" s="8"/>
      <c r="G7" s="8"/>
      <c r="H7" s="8"/>
      <c r="I7" s="8"/>
      <c r="J7" s="8"/>
      <c r="K7" s="8"/>
      <c r="L7" s="8"/>
      <c r="M7" s="8"/>
    </row>
    <row r="8" spans="1:13" s="12" customFormat="1" ht="15.75" customHeight="1" x14ac:dyDescent="0.2">
      <c r="A8" s="7" t="s">
        <v>53</v>
      </c>
      <c r="B8" s="7"/>
      <c r="C8" s="7"/>
      <c r="D8" s="7"/>
      <c r="E8" s="7"/>
      <c r="F8" s="7"/>
      <c r="G8" s="7"/>
      <c r="H8" s="7"/>
      <c r="I8" s="7"/>
      <c r="J8" s="7"/>
      <c r="K8" s="7"/>
      <c r="L8" s="7"/>
      <c r="M8" s="7"/>
    </row>
    <row r="9" spans="1:13" s="12" customFormat="1" ht="15.75" customHeight="1" x14ac:dyDescent="0.2">
      <c r="A9" s="9" t="s">
        <v>64</v>
      </c>
      <c r="B9" s="9"/>
      <c r="C9" s="9"/>
      <c r="D9" s="9"/>
      <c r="E9" s="17"/>
      <c r="F9" s="9"/>
      <c r="G9" s="18"/>
      <c r="H9" s="18"/>
      <c r="I9" s="17"/>
      <c r="J9" s="17"/>
      <c r="K9" s="17"/>
      <c r="L9" s="17"/>
      <c r="M9" s="18"/>
    </row>
  </sheetData>
  <conditionalFormatting sqref="N10:N14">
    <cfRule type="cellIs" dxfId="12" priority="11" stopIfTrue="1" operator="equal">
      <formula>"Fail"</formula>
    </cfRule>
    <cfRule type="cellIs" dxfId="11" priority="12" stopIfTrue="1" operator="equal">
      <formula>"Incomplete"</formula>
    </cfRule>
  </conditionalFormatting>
  <conditionalFormatting sqref="G10:G14">
    <cfRule type="expression" dxfId="10" priority="13" stopIfTrue="1">
      <formula>Section_Selection&lt;&gt;1</formula>
    </cfRule>
  </conditionalFormatting>
  <conditionalFormatting sqref="M27">
    <cfRule type="cellIs" dxfId="9" priority="9" stopIfTrue="1" operator="between">
      <formula>"PASS"</formula>
      <formula>"JUST PASS"</formula>
    </cfRule>
    <cfRule type="cellIs" dxfId="8" priority="10" stopIfTrue="1" operator="between">
      <formula>"FAIL"</formula>
      <formula>"JUST FAIL"</formula>
    </cfRule>
  </conditionalFormatting>
  <conditionalFormatting sqref="M28">
    <cfRule type="cellIs" dxfId="7" priority="7" stopIfTrue="1" operator="between">
      <formula>"PASS"</formula>
      <formula>"JUST PASS"</formula>
    </cfRule>
    <cfRule type="cellIs" dxfId="6" priority="8" stopIfTrue="1" operator="between">
      <formula>"FAIL"</formula>
      <formula>"JUST FAIL"</formula>
    </cfRule>
  </conditionalFormatting>
  <conditionalFormatting sqref="M29">
    <cfRule type="cellIs" dxfId="5" priority="5" stopIfTrue="1" operator="between">
      <formula>"PASS"</formula>
      <formula>"JUST PASS"</formula>
    </cfRule>
    <cfRule type="cellIs" dxfId="4" priority="6" stopIfTrue="1" operator="between">
      <formula>"FAIL"</formula>
      <formula>"JUST FAIL"</formula>
    </cfRule>
  </conditionalFormatting>
  <conditionalFormatting sqref="M30">
    <cfRule type="cellIs" dxfId="3" priority="3" stopIfTrue="1" operator="between">
      <formula>"PASS"</formula>
      <formula>"JUST PASS"</formula>
    </cfRule>
    <cfRule type="cellIs" dxfId="2" priority="4" stopIfTrue="1" operator="between">
      <formula>"FAIL"</formula>
      <formula>"JUST FAIL"</formula>
    </cfRule>
  </conditionalFormatting>
  <conditionalFormatting sqref="M31:M32">
    <cfRule type="cellIs" dxfId="1" priority="1" stopIfTrue="1" operator="between">
      <formula>"PASS"</formula>
      <formula>"JUST PASS"</formula>
    </cfRule>
    <cfRule type="cellIs" dxfId="0" priority="2" stopIfTrue="1" operator="between">
      <formula>"FAIL"</formula>
      <formula>"JUST FAIL"</formula>
    </cfRule>
  </conditionalFormatting>
  <pageMargins left="0.70866141732283472" right="0.39370078740157483" top="0.23622047244094491" bottom="0.74803149606299213" header="0" footer="0.31496062992125984"/>
  <pageSetup paperSize="9" fitToWidth="0" fitToHeight="0" orientation="portrait" horizontalDpi="300" verticalDpi="300" r:id="rId1"/>
  <headerFooter>
    <oddFooter>&amp;C&amp;6
Page &amp;P of &amp;N&amp;L&amp;G&amp;R&amp;6&amp;G
&amp;"Arial,Bold"Filename:&amp;"Arial,Regular" &amp;F 
&amp;"Arial,Bold"Worksheet: &amp;"Arial,Regular"&amp;A&amp;"Arial,Bold"
Printed:&amp;"Arial,Regular" &amp;D - &amp;T</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7AB800"/>
  </sheetPr>
  <dimension ref="A1:X75"/>
  <sheetViews>
    <sheetView zoomScale="115" zoomScaleNormal="115" workbookViewId="0">
      <selection activeCell="A18" sqref="A18"/>
    </sheetView>
  </sheetViews>
  <sheetFormatPr defaultColWidth="9.28515625" defaultRowHeight="10.199999999999999" x14ac:dyDescent="0.2"/>
  <cols>
    <col min="1" max="1" width="9.28515625" customWidth="1"/>
    <col min="2" max="2" width="10.140625" bestFit="1" customWidth="1"/>
  </cols>
  <sheetData>
    <row r="1" spans="1:24" ht="15.6" x14ac:dyDescent="0.2">
      <c r="A1" s="62" t="s">
        <v>221</v>
      </c>
    </row>
    <row r="3" spans="1:24" x14ac:dyDescent="0.2">
      <c r="A3" t="s">
        <v>125</v>
      </c>
    </row>
    <row r="5" spans="1:24" x14ac:dyDescent="0.2">
      <c r="A5" s="59" t="s">
        <v>131</v>
      </c>
    </row>
    <row r="6" spans="1:24" x14ac:dyDescent="0.2">
      <c r="A6" s="64" t="s">
        <v>65</v>
      </c>
      <c r="B6" s="64" t="s">
        <v>5</v>
      </c>
      <c r="C6" s="64" t="s">
        <v>137</v>
      </c>
      <c r="D6" s="244" t="s">
        <v>138</v>
      </c>
      <c r="E6" s="244"/>
      <c r="F6" s="244"/>
      <c r="G6" s="244"/>
      <c r="H6" s="244"/>
      <c r="I6" s="244"/>
      <c r="J6" s="244"/>
      <c r="K6" s="244"/>
      <c r="L6" s="244"/>
      <c r="M6" s="244"/>
      <c r="N6" s="244"/>
      <c r="O6" s="244"/>
      <c r="P6" s="244"/>
      <c r="Q6" s="244"/>
      <c r="R6" s="244"/>
      <c r="S6" s="244"/>
      <c r="T6" s="244"/>
      <c r="U6" s="244"/>
      <c r="V6" s="244"/>
      <c r="W6" s="244"/>
      <c r="X6" s="244"/>
    </row>
    <row r="7" spans="1:24" x14ac:dyDescent="0.2">
      <c r="A7" s="65">
        <v>1</v>
      </c>
      <c r="B7" s="68">
        <v>41324</v>
      </c>
      <c r="C7" s="67" t="s">
        <v>139</v>
      </c>
      <c r="D7" s="69" t="s">
        <v>130</v>
      </c>
      <c r="E7" s="70"/>
      <c r="F7" s="70"/>
      <c r="G7" s="70"/>
      <c r="H7" s="70"/>
      <c r="I7" s="70"/>
      <c r="J7" s="70"/>
      <c r="K7" s="70"/>
      <c r="L7" s="70"/>
      <c r="M7" s="70"/>
      <c r="N7" s="70"/>
      <c r="O7" s="70"/>
      <c r="P7" s="70"/>
      <c r="Q7" s="70"/>
      <c r="R7" s="70"/>
      <c r="S7" s="70"/>
      <c r="T7" s="70"/>
      <c r="U7" s="70"/>
      <c r="V7" s="70"/>
      <c r="W7" s="70"/>
      <c r="X7" s="71"/>
    </row>
    <row r="8" spans="1:24" x14ac:dyDescent="0.2">
      <c r="A8" s="66" t="s">
        <v>129</v>
      </c>
      <c r="B8" s="68">
        <v>41326</v>
      </c>
      <c r="C8" s="67" t="s">
        <v>139</v>
      </c>
      <c r="D8" s="69" t="s">
        <v>132</v>
      </c>
      <c r="E8" s="70"/>
      <c r="F8" s="70"/>
      <c r="G8" s="70"/>
      <c r="H8" s="70"/>
      <c r="I8" s="70"/>
      <c r="J8" s="70"/>
      <c r="K8" s="70"/>
      <c r="L8" s="70"/>
      <c r="M8" s="70"/>
      <c r="N8" s="70"/>
      <c r="O8" s="70"/>
      <c r="P8" s="70"/>
      <c r="Q8" s="70"/>
      <c r="R8" s="70"/>
      <c r="S8" s="70"/>
      <c r="T8" s="70"/>
      <c r="U8" s="70"/>
      <c r="V8" s="70"/>
      <c r="W8" s="70"/>
      <c r="X8" s="71"/>
    </row>
    <row r="9" spans="1:24" ht="26.25" customHeight="1" x14ac:dyDescent="0.2">
      <c r="A9" s="67">
        <v>1.1000000000000001</v>
      </c>
      <c r="B9" s="68">
        <v>41337</v>
      </c>
      <c r="C9" s="67" t="s">
        <v>139</v>
      </c>
      <c r="D9" s="251" t="s">
        <v>142</v>
      </c>
      <c r="E9" s="252"/>
      <c r="F9" s="252"/>
      <c r="G9" s="252"/>
      <c r="H9" s="252"/>
      <c r="I9" s="252"/>
      <c r="J9" s="252"/>
      <c r="K9" s="252"/>
      <c r="L9" s="252"/>
      <c r="M9" s="252"/>
      <c r="N9" s="252"/>
      <c r="O9" s="252"/>
      <c r="P9" s="252"/>
      <c r="Q9" s="252"/>
      <c r="R9" s="252"/>
      <c r="S9" s="252"/>
      <c r="T9" s="252"/>
      <c r="U9" s="252"/>
      <c r="V9" s="252"/>
      <c r="W9" s="252"/>
      <c r="X9" s="253"/>
    </row>
    <row r="10" spans="1:24" ht="26.25" customHeight="1" x14ac:dyDescent="0.2">
      <c r="A10" s="67">
        <v>1.2</v>
      </c>
      <c r="B10" s="68">
        <v>41456</v>
      </c>
      <c r="C10" s="67" t="s">
        <v>143</v>
      </c>
      <c r="D10" s="251" t="s">
        <v>144</v>
      </c>
      <c r="E10" s="252"/>
      <c r="F10" s="252"/>
      <c r="G10" s="252"/>
      <c r="H10" s="252"/>
      <c r="I10" s="252"/>
      <c r="J10" s="252"/>
      <c r="K10" s="252"/>
      <c r="L10" s="252"/>
      <c r="M10" s="252"/>
      <c r="N10" s="252"/>
      <c r="O10" s="252"/>
      <c r="P10" s="252"/>
      <c r="Q10" s="252"/>
      <c r="R10" s="252"/>
      <c r="S10" s="252"/>
      <c r="T10" s="252"/>
      <c r="U10" s="252"/>
      <c r="V10" s="252"/>
      <c r="W10" s="252"/>
      <c r="X10" s="253"/>
    </row>
    <row r="11" spans="1:24" ht="26.25" customHeight="1" x14ac:dyDescent="0.2">
      <c r="A11" s="67">
        <v>1.3</v>
      </c>
      <c r="B11" s="68">
        <v>42341</v>
      </c>
      <c r="C11" s="67" t="s">
        <v>147</v>
      </c>
      <c r="D11" s="251" t="s">
        <v>148</v>
      </c>
      <c r="E11" s="252"/>
      <c r="F11" s="252"/>
      <c r="G11" s="252"/>
      <c r="H11" s="252"/>
      <c r="I11" s="252"/>
      <c r="J11" s="252"/>
      <c r="K11" s="252"/>
      <c r="L11" s="252"/>
      <c r="M11" s="252"/>
      <c r="N11" s="252"/>
      <c r="O11" s="252"/>
      <c r="P11" s="252"/>
      <c r="Q11" s="252"/>
      <c r="R11" s="252"/>
      <c r="S11" s="252"/>
      <c r="T11" s="252"/>
      <c r="U11" s="252"/>
      <c r="V11" s="252"/>
      <c r="W11" s="252"/>
      <c r="X11" s="253"/>
    </row>
    <row r="12" spans="1:24" ht="26.25" customHeight="1" x14ac:dyDescent="0.2">
      <c r="A12" s="67">
        <v>1.4</v>
      </c>
      <c r="B12" s="68">
        <v>42411</v>
      </c>
      <c r="C12" s="67" t="s">
        <v>147</v>
      </c>
      <c r="D12" s="251" t="s">
        <v>201</v>
      </c>
      <c r="E12" s="252"/>
      <c r="F12" s="252"/>
      <c r="G12" s="252"/>
      <c r="H12" s="252"/>
      <c r="I12" s="252"/>
      <c r="J12" s="252"/>
      <c r="K12" s="252"/>
      <c r="L12" s="252"/>
      <c r="M12" s="252"/>
      <c r="N12" s="252"/>
      <c r="O12" s="252"/>
      <c r="P12" s="252"/>
      <c r="Q12" s="252"/>
      <c r="R12" s="252"/>
      <c r="S12" s="252"/>
      <c r="T12" s="252"/>
      <c r="U12" s="252"/>
      <c r="V12" s="252"/>
      <c r="W12" s="252"/>
      <c r="X12" s="253"/>
    </row>
    <row r="13" spans="1:24" ht="26.25" customHeight="1" x14ac:dyDescent="0.2">
      <c r="A13" s="67">
        <v>1.5</v>
      </c>
      <c r="B13" s="68"/>
      <c r="C13" s="67" t="s">
        <v>147</v>
      </c>
      <c r="D13" s="251" t="s">
        <v>217</v>
      </c>
      <c r="E13" s="252"/>
      <c r="F13" s="252"/>
      <c r="G13" s="252"/>
      <c r="H13" s="252"/>
      <c r="I13" s="252"/>
      <c r="J13" s="252"/>
      <c r="K13" s="252"/>
      <c r="L13" s="252"/>
      <c r="M13" s="252"/>
      <c r="N13" s="252"/>
      <c r="O13" s="252"/>
      <c r="P13" s="252"/>
      <c r="Q13" s="252"/>
      <c r="R13" s="252"/>
      <c r="S13" s="252"/>
      <c r="T13" s="252"/>
      <c r="U13" s="252"/>
      <c r="V13" s="252"/>
      <c r="W13" s="252"/>
      <c r="X13" s="253"/>
    </row>
    <row r="14" spans="1:24" ht="26.25" customHeight="1" x14ac:dyDescent="0.2">
      <c r="A14" s="67">
        <v>1.6</v>
      </c>
      <c r="B14" s="68"/>
      <c r="C14" s="67" t="s">
        <v>147</v>
      </c>
      <c r="D14" s="251" t="s">
        <v>217</v>
      </c>
      <c r="E14" s="252"/>
      <c r="F14" s="252"/>
      <c r="G14" s="252"/>
      <c r="H14" s="252"/>
      <c r="I14" s="252"/>
      <c r="J14" s="252"/>
      <c r="K14" s="252"/>
      <c r="L14" s="252"/>
      <c r="M14" s="252"/>
      <c r="N14" s="252"/>
      <c r="O14" s="252"/>
      <c r="P14" s="252"/>
      <c r="Q14" s="252"/>
      <c r="R14" s="252"/>
      <c r="S14" s="252"/>
      <c r="T14" s="252"/>
      <c r="U14" s="252"/>
      <c r="V14" s="252"/>
      <c r="W14" s="252"/>
      <c r="X14" s="253"/>
    </row>
    <row r="15" spans="1:24" ht="26.25" customHeight="1" x14ac:dyDescent="0.2">
      <c r="A15" s="67">
        <v>1.7</v>
      </c>
      <c r="B15" s="68">
        <v>42537</v>
      </c>
      <c r="C15" s="67" t="s">
        <v>147</v>
      </c>
      <c r="D15" s="251" t="s">
        <v>217</v>
      </c>
      <c r="E15" s="252"/>
      <c r="F15" s="252"/>
      <c r="G15" s="252"/>
      <c r="H15" s="252"/>
      <c r="I15" s="252"/>
      <c r="J15" s="252"/>
      <c r="K15" s="252"/>
      <c r="L15" s="252"/>
      <c r="M15" s="252"/>
      <c r="N15" s="252"/>
      <c r="O15" s="252"/>
      <c r="P15" s="252"/>
      <c r="Q15" s="252"/>
      <c r="R15" s="252"/>
      <c r="S15" s="252"/>
      <c r="T15" s="252"/>
      <c r="U15" s="252"/>
      <c r="V15" s="252"/>
      <c r="W15" s="252"/>
      <c r="X15" s="253"/>
    </row>
    <row r="16" spans="1:24" ht="26.25" customHeight="1" x14ac:dyDescent="0.2">
      <c r="A16" s="67">
        <v>1.8</v>
      </c>
      <c r="B16" s="68">
        <v>42607</v>
      </c>
      <c r="C16" s="67" t="s">
        <v>147</v>
      </c>
      <c r="D16" s="251" t="s">
        <v>220</v>
      </c>
      <c r="E16" s="252"/>
      <c r="F16" s="252"/>
      <c r="G16" s="252"/>
      <c r="H16" s="252"/>
      <c r="I16" s="252"/>
      <c r="J16" s="252"/>
      <c r="K16" s="252"/>
      <c r="L16" s="252"/>
      <c r="M16" s="252"/>
      <c r="N16" s="252"/>
      <c r="O16" s="252"/>
      <c r="P16" s="252"/>
      <c r="Q16" s="252"/>
      <c r="R16" s="252"/>
      <c r="S16" s="252"/>
      <c r="T16" s="252"/>
      <c r="U16" s="252"/>
      <c r="V16" s="252"/>
      <c r="W16" s="252"/>
      <c r="X16" s="253"/>
    </row>
    <row r="17" spans="1:24" ht="26.25" customHeight="1" x14ac:dyDescent="0.2">
      <c r="A17" s="67" t="s">
        <v>224</v>
      </c>
      <c r="B17" s="68"/>
      <c r="C17" s="67" t="s">
        <v>147</v>
      </c>
      <c r="D17" s="251" t="s">
        <v>225</v>
      </c>
      <c r="E17" s="252"/>
      <c r="F17" s="252"/>
      <c r="G17" s="252"/>
      <c r="H17" s="252"/>
      <c r="I17" s="252"/>
      <c r="J17" s="252"/>
      <c r="K17" s="252"/>
      <c r="L17" s="252"/>
      <c r="M17" s="252"/>
      <c r="N17" s="252"/>
      <c r="O17" s="252"/>
      <c r="P17" s="252"/>
      <c r="Q17" s="252"/>
      <c r="R17" s="252"/>
      <c r="S17" s="252"/>
      <c r="T17" s="252"/>
      <c r="U17" s="252"/>
      <c r="V17" s="252"/>
      <c r="W17" s="252"/>
      <c r="X17" s="253"/>
    </row>
    <row r="18" spans="1:24" x14ac:dyDescent="0.2">
      <c r="A18" s="10"/>
      <c r="B18" s="72"/>
      <c r="C18" s="10"/>
      <c r="D18" s="95"/>
      <c r="E18" s="95"/>
      <c r="F18" s="95"/>
      <c r="G18" s="95"/>
      <c r="H18" s="95"/>
      <c r="I18" s="95"/>
      <c r="J18" s="95"/>
      <c r="K18" s="95"/>
      <c r="L18" s="95"/>
      <c r="M18" s="95"/>
      <c r="N18" s="95"/>
      <c r="O18" s="95"/>
      <c r="P18" s="95"/>
      <c r="Q18" s="95"/>
      <c r="R18" s="95"/>
      <c r="S18" s="95"/>
      <c r="T18" s="95"/>
      <c r="U18" s="95"/>
      <c r="V18" s="95"/>
      <c r="W18" s="95"/>
      <c r="X18" s="95"/>
    </row>
    <row r="19" spans="1:24" x14ac:dyDescent="0.2">
      <c r="A19" s="10"/>
      <c r="B19" s="72"/>
      <c r="C19" s="10"/>
      <c r="D19" s="10"/>
      <c r="E19" s="10"/>
      <c r="F19" s="10"/>
      <c r="G19" s="10"/>
      <c r="H19" s="10"/>
      <c r="I19" s="10"/>
      <c r="J19" s="10"/>
      <c r="K19" s="10"/>
      <c r="L19" s="10"/>
      <c r="M19" s="10"/>
      <c r="N19" s="10"/>
      <c r="O19" s="10"/>
      <c r="P19" s="10"/>
      <c r="Q19" s="10"/>
      <c r="R19" s="10"/>
      <c r="S19" s="10"/>
      <c r="T19" s="10"/>
      <c r="U19" s="10"/>
      <c r="V19" s="10"/>
      <c r="W19" s="10"/>
      <c r="X19" s="10"/>
    </row>
    <row r="20" spans="1:24" x14ac:dyDescent="0.2">
      <c r="A20" s="73" t="s">
        <v>219</v>
      </c>
      <c r="B20" s="72"/>
      <c r="C20" s="10"/>
      <c r="D20" s="10"/>
      <c r="E20" s="10"/>
      <c r="F20" s="10"/>
      <c r="G20" s="10"/>
      <c r="H20" s="10"/>
      <c r="I20" s="10"/>
      <c r="J20" s="10"/>
      <c r="K20" s="10"/>
      <c r="L20" s="10"/>
      <c r="M20" s="10"/>
      <c r="N20" s="10"/>
      <c r="O20" s="10"/>
      <c r="P20" s="10"/>
      <c r="Q20" s="10"/>
      <c r="R20" s="10"/>
      <c r="S20" s="10"/>
      <c r="T20" s="10"/>
      <c r="U20" s="10"/>
      <c r="V20" s="10"/>
      <c r="W20" s="10"/>
      <c r="X20" s="10"/>
    </row>
    <row r="21" spans="1:24" x14ac:dyDescent="0.2">
      <c r="A21" s="64" t="s">
        <v>141</v>
      </c>
      <c r="B21" s="64" t="s">
        <v>5</v>
      </c>
      <c r="C21" s="64" t="s">
        <v>137</v>
      </c>
      <c r="D21" s="245" t="s">
        <v>138</v>
      </c>
      <c r="E21" s="246"/>
      <c r="F21" s="246"/>
      <c r="G21" s="246"/>
      <c r="H21" s="246"/>
      <c r="I21" s="246"/>
      <c r="J21" s="246"/>
      <c r="K21" s="246"/>
      <c r="L21" s="246"/>
      <c r="M21" s="246"/>
      <c r="N21" s="246"/>
      <c r="O21" s="246"/>
      <c r="P21" s="246"/>
      <c r="Q21" s="246"/>
      <c r="R21" s="246"/>
      <c r="S21" s="246"/>
      <c r="T21" s="246"/>
      <c r="U21" s="246"/>
      <c r="V21" s="246"/>
      <c r="W21" s="246"/>
      <c r="X21" s="247"/>
    </row>
    <row r="22" spans="1:24" ht="23.25" customHeight="1" x14ac:dyDescent="0.2">
      <c r="A22" s="74">
        <v>1</v>
      </c>
      <c r="B22" s="68">
        <v>41456</v>
      </c>
      <c r="C22" s="67" t="s">
        <v>143</v>
      </c>
      <c r="D22" s="248" t="s">
        <v>145</v>
      </c>
      <c r="E22" s="249"/>
      <c r="F22" s="249"/>
      <c r="G22" s="249"/>
      <c r="H22" s="249"/>
      <c r="I22" s="249"/>
      <c r="J22" s="249"/>
      <c r="K22" s="249"/>
      <c r="L22" s="249"/>
      <c r="M22" s="249"/>
      <c r="N22" s="249"/>
      <c r="O22" s="249"/>
      <c r="P22" s="249"/>
      <c r="Q22" s="249"/>
      <c r="R22" s="249"/>
      <c r="S22" s="249"/>
      <c r="T22" s="249"/>
      <c r="U22" s="249"/>
      <c r="V22" s="249"/>
      <c r="W22" s="249"/>
      <c r="X22" s="250"/>
    </row>
    <row r="23" spans="1:24" x14ac:dyDescent="0.2">
      <c r="A23" s="74">
        <v>2</v>
      </c>
      <c r="B23" s="68">
        <v>41456</v>
      </c>
      <c r="C23" s="67" t="s">
        <v>143</v>
      </c>
      <c r="D23" s="251" t="s">
        <v>146</v>
      </c>
      <c r="E23" s="252"/>
      <c r="F23" s="252"/>
      <c r="G23" s="252"/>
      <c r="H23" s="252"/>
      <c r="I23" s="252"/>
      <c r="J23" s="252"/>
      <c r="K23" s="252"/>
      <c r="L23" s="252"/>
      <c r="M23" s="252"/>
      <c r="N23" s="252"/>
      <c r="O23" s="252"/>
      <c r="P23" s="252"/>
      <c r="Q23" s="252"/>
      <c r="R23" s="252"/>
      <c r="S23" s="252"/>
      <c r="T23" s="252"/>
      <c r="U23" s="252"/>
      <c r="V23" s="252"/>
      <c r="W23" s="252"/>
      <c r="X23" s="253"/>
    </row>
    <row r="24" spans="1:24" x14ac:dyDescent="0.2">
      <c r="A24" s="74">
        <v>3</v>
      </c>
      <c r="B24" s="68"/>
      <c r="C24" s="67"/>
      <c r="D24" s="248"/>
      <c r="E24" s="249"/>
      <c r="F24" s="249"/>
      <c r="G24" s="249"/>
      <c r="H24" s="249"/>
      <c r="I24" s="249"/>
      <c r="J24" s="249"/>
      <c r="K24" s="249"/>
      <c r="L24" s="249"/>
      <c r="M24" s="249"/>
      <c r="N24" s="249"/>
      <c r="O24" s="249"/>
      <c r="P24" s="249"/>
      <c r="Q24" s="249"/>
      <c r="R24" s="249"/>
      <c r="S24" s="249"/>
      <c r="T24" s="249"/>
      <c r="U24" s="249"/>
      <c r="V24" s="249"/>
      <c r="W24" s="249"/>
      <c r="X24" s="250"/>
    </row>
    <row r="25" spans="1:24" x14ac:dyDescent="0.2">
      <c r="A25" s="74">
        <v>4</v>
      </c>
      <c r="B25" s="68"/>
      <c r="C25" s="67"/>
      <c r="D25" s="251"/>
      <c r="E25" s="252"/>
      <c r="F25" s="252"/>
      <c r="G25" s="252"/>
      <c r="H25" s="252"/>
      <c r="I25" s="252"/>
      <c r="J25" s="252"/>
      <c r="K25" s="252"/>
      <c r="L25" s="252"/>
      <c r="M25" s="252"/>
      <c r="N25" s="252"/>
      <c r="O25" s="252"/>
      <c r="P25" s="252"/>
      <c r="Q25" s="252"/>
      <c r="R25" s="252"/>
      <c r="S25" s="252"/>
      <c r="T25" s="252"/>
      <c r="U25" s="252"/>
      <c r="V25" s="252"/>
      <c r="W25" s="252"/>
      <c r="X25" s="253"/>
    </row>
    <row r="26" spans="1:24" x14ac:dyDescent="0.2">
      <c r="A26" s="74">
        <v>5</v>
      </c>
      <c r="B26" s="68"/>
      <c r="C26" s="67"/>
      <c r="D26" s="248"/>
      <c r="E26" s="249"/>
      <c r="F26" s="249"/>
      <c r="G26" s="249"/>
      <c r="H26" s="249"/>
      <c r="I26" s="249"/>
      <c r="J26" s="249"/>
      <c r="K26" s="249"/>
      <c r="L26" s="249"/>
      <c r="M26" s="249"/>
      <c r="N26" s="249"/>
      <c r="O26" s="249"/>
      <c r="P26" s="249"/>
      <c r="Q26" s="249"/>
      <c r="R26" s="249"/>
      <c r="S26" s="249"/>
      <c r="T26" s="249"/>
      <c r="U26" s="249"/>
      <c r="V26" s="249"/>
      <c r="W26" s="249"/>
      <c r="X26" s="250"/>
    </row>
    <row r="27" spans="1:24" x14ac:dyDescent="0.2">
      <c r="A27" s="74">
        <v>6</v>
      </c>
      <c r="B27" s="68"/>
      <c r="C27" s="67"/>
      <c r="D27" s="248"/>
      <c r="E27" s="249"/>
      <c r="F27" s="249"/>
      <c r="G27" s="249"/>
      <c r="H27" s="249"/>
      <c r="I27" s="249"/>
      <c r="J27" s="249"/>
      <c r="K27" s="249"/>
      <c r="L27" s="249"/>
      <c r="M27" s="249"/>
      <c r="N27" s="249"/>
      <c r="O27" s="249"/>
      <c r="P27" s="249"/>
      <c r="Q27" s="249"/>
      <c r="R27" s="249"/>
      <c r="S27" s="249"/>
      <c r="T27" s="249"/>
      <c r="U27" s="249"/>
      <c r="V27" s="249"/>
      <c r="W27" s="249"/>
      <c r="X27" s="250"/>
    </row>
    <row r="28" spans="1:24" x14ac:dyDescent="0.2">
      <c r="A28" s="74">
        <v>7</v>
      </c>
      <c r="B28" s="68"/>
      <c r="C28" s="67"/>
      <c r="D28" s="248"/>
      <c r="E28" s="249"/>
      <c r="F28" s="249"/>
      <c r="G28" s="249"/>
      <c r="H28" s="249"/>
      <c r="I28" s="249"/>
      <c r="J28" s="249"/>
      <c r="K28" s="249"/>
      <c r="L28" s="249"/>
      <c r="M28" s="249"/>
      <c r="N28" s="249"/>
      <c r="O28" s="249"/>
      <c r="P28" s="249"/>
      <c r="Q28" s="249"/>
      <c r="R28" s="249"/>
      <c r="S28" s="249"/>
      <c r="T28" s="249"/>
      <c r="U28" s="249"/>
      <c r="V28" s="249"/>
      <c r="W28" s="249"/>
      <c r="X28" s="250"/>
    </row>
    <row r="29" spans="1:24" x14ac:dyDescent="0.2">
      <c r="A29" s="74">
        <v>8</v>
      </c>
      <c r="B29" s="68"/>
      <c r="C29" s="67"/>
      <c r="D29" s="248"/>
      <c r="E29" s="249"/>
      <c r="F29" s="249"/>
      <c r="G29" s="249"/>
      <c r="H29" s="249"/>
      <c r="I29" s="249"/>
      <c r="J29" s="249"/>
      <c r="K29" s="249"/>
      <c r="L29" s="249"/>
      <c r="M29" s="249"/>
      <c r="N29" s="249"/>
      <c r="O29" s="249"/>
      <c r="P29" s="249"/>
      <c r="Q29" s="249"/>
      <c r="R29" s="249"/>
      <c r="S29" s="249"/>
      <c r="T29" s="249"/>
      <c r="U29" s="249"/>
      <c r="V29" s="249"/>
      <c r="W29" s="249"/>
      <c r="X29" s="250"/>
    </row>
    <row r="30" spans="1:24" x14ac:dyDescent="0.2">
      <c r="A30" s="10"/>
      <c r="B30" s="72"/>
      <c r="C30" s="10"/>
      <c r="D30" s="10"/>
      <c r="E30" s="10"/>
      <c r="F30" s="10"/>
      <c r="G30" s="10"/>
      <c r="H30" s="10"/>
      <c r="I30" s="10"/>
      <c r="J30" s="10"/>
      <c r="K30" s="10"/>
      <c r="L30" s="10"/>
      <c r="M30" s="10"/>
      <c r="N30" s="10"/>
      <c r="O30" s="10"/>
      <c r="P30" s="10"/>
      <c r="Q30" s="10"/>
      <c r="R30" s="10"/>
      <c r="S30" s="10"/>
      <c r="T30" s="10"/>
      <c r="U30" s="10"/>
      <c r="V30" s="10"/>
      <c r="W30" s="10"/>
      <c r="X30" s="10"/>
    </row>
    <row r="31" spans="1:24" x14ac:dyDescent="0.2">
      <c r="A31" s="59" t="s">
        <v>121</v>
      </c>
    </row>
    <row r="51" spans="1:1" x14ac:dyDescent="0.2">
      <c r="A51" s="59" t="s">
        <v>120</v>
      </c>
    </row>
    <row r="52" spans="1:1" x14ac:dyDescent="0.2">
      <c r="A52" s="47" t="s">
        <v>86</v>
      </c>
    </row>
    <row r="53" spans="1:1" x14ac:dyDescent="0.2">
      <c r="A53" s="47" t="s">
        <v>95</v>
      </c>
    </row>
    <row r="54" spans="1:1" x14ac:dyDescent="0.2">
      <c r="A54" s="47" t="s">
        <v>96</v>
      </c>
    </row>
    <row r="55" spans="1:1" x14ac:dyDescent="0.2">
      <c r="A55" s="47" t="s">
        <v>83</v>
      </c>
    </row>
    <row r="56" spans="1:1" x14ac:dyDescent="0.2">
      <c r="A56" s="47" t="s">
        <v>140</v>
      </c>
    </row>
    <row r="57" spans="1:1" x14ac:dyDescent="0.2">
      <c r="A57" s="47" t="s">
        <v>84</v>
      </c>
    </row>
    <row r="58" spans="1:1" x14ac:dyDescent="0.2">
      <c r="A58" s="47" t="s">
        <v>97</v>
      </c>
    </row>
    <row r="59" spans="1:1" x14ac:dyDescent="0.2">
      <c r="A59" s="47" t="s">
        <v>113</v>
      </c>
    </row>
    <row r="60" spans="1:1" x14ac:dyDescent="0.2">
      <c r="A60" s="47"/>
    </row>
    <row r="61" spans="1:1" x14ac:dyDescent="0.2">
      <c r="A61" s="19" t="s">
        <v>98</v>
      </c>
    </row>
    <row r="62" spans="1:1" x14ac:dyDescent="0.2">
      <c r="A62" s="47" t="s">
        <v>99</v>
      </c>
    </row>
    <row r="63" spans="1:1" x14ac:dyDescent="0.2">
      <c r="A63" s="47" t="s">
        <v>100</v>
      </c>
    </row>
    <row r="64" spans="1:1" x14ac:dyDescent="0.2">
      <c r="A64" s="47" t="s">
        <v>101</v>
      </c>
    </row>
    <row r="65" spans="1:1" x14ac:dyDescent="0.2">
      <c r="A65" s="47" t="s">
        <v>102</v>
      </c>
    </row>
    <row r="66" spans="1:1" x14ac:dyDescent="0.2">
      <c r="A66" s="47" t="s">
        <v>103</v>
      </c>
    </row>
    <row r="67" spans="1:1" x14ac:dyDescent="0.2">
      <c r="A67" s="47" t="s">
        <v>149</v>
      </c>
    </row>
    <row r="68" spans="1:1" x14ac:dyDescent="0.2">
      <c r="A68" s="47"/>
    </row>
    <row r="69" spans="1:1" x14ac:dyDescent="0.2">
      <c r="A69" s="19" t="s">
        <v>112</v>
      </c>
    </row>
    <row r="70" spans="1:1" x14ac:dyDescent="0.2">
      <c r="A70" s="47" t="s">
        <v>124</v>
      </c>
    </row>
    <row r="71" spans="1:1" x14ac:dyDescent="0.2">
      <c r="A71" s="47" t="s">
        <v>122</v>
      </c>
    </row>
    <row r="72" spans="1:1" x14ac:dyDescent="0.2">
      <c r="A72" s="47" t="s">
        <v>123</v>
      </c>
    </row>
    <row r="75" spans="1:1" x14ac:dyDescent="0.2">
      <c r="A75" s="11" t="s">
        <v>126</v>
      </c>
    </row>
  </sheetData>
  <dataConsolidate/>
  <mergeCells count="19">
    <mergeCell ref="D25:X25"/>
    <mergeCell ref="D26:X26"/>
    <mergeCell ref="D27:X27"/>
    <mergeCell ref="D28:X28"/>
    <mergeCell ref="D29:X29"/>
    <mergeCell ref="D6:X6"/>
    <mergeCell ref="D21:X21"/>
    <mergeCell ref="D22:X22"/>
    <mergeCell ref="D23:X23"/>
    <mergeCell ref="D24:X24"/>
    <mergeCell ref="D9:X9"/>
    <mergeCell ref="D10:X10"/>
    <mergeCell ref="D11:X11"/>
    <mergeCell ref="D12:X12"/>
    <mergeCell ref="D13:X13"/>
    <mergeCell ref="D14:X14"/>
    <mergeCell ref="D15:X15"/>
    <mergeCell ref="D16:X16"/>
    <mergeCell ref="D17:X17"/>
  </mergeCells>
  <phoneticPr fontId="7" type="noConversion"/>
  <pageMargins left="0.75" right="0.75" top="1" bottom="1" header="0.5" footer="0.5"/>
  <pageSetup paperSize="9" orientation="portrait" horizontalDpi="4294967295" r:id="rId1"/>
  <headerFooter alignWithMargins="0">
    <oddFooter>&amp;R&amp;"Arial Narrow,Regular"&amp;9C:\Documents and Settings\\My Documents\H Drive\Spreadsheet work\Changing Logos\&amp;F ...&amp;A | &amp;D | &amp;T | &amp;"Arial Narrow,Bold"Page &amp;P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38</vt:i4>
      </vt:variant>
    </vt:vector>
  </HeadingPairs>
  <TitlesOfParts>
    <vt:vector size="48" baseType="lpstr">
      <vt:lpstr>Doc Control</vt:lpstr>
      <vt:lpstr>Introduction</vt:lpstr>
      <vt:lpstr>1.8m depth C2 Liner MD</vt:lpstr>
      <vt:lpstr>1.8m depth C4 Liner </vt:lpstr>
      <vt:lpstr>1.8m depth Rect Pit</vt:lpstr>
      <vt:lpstr>1.2m depth Rect Pit</vt:lpstr>
      <vt:lpstr>2.1m depth Rect Pit </vt:lpstr>
      <vt:lpstr>2.1m depth C4 Liner </vt:lpstr>
      <vt:lpstr>Sample calculation sheet</vt:lpstr>
      <vt:lpstr>Sample theory sheet</vt:lpstr>
      <vt:lpstr>by</vt:lpstr>
      <vt:lpstr>client</vt:lpstr>
      <vt:lpstr>Current_Logo</vt:lpstr>
      <vt:lpstr>CurrentVersion</vt:lpstr>
      <vt:lpstr>date_in</vt:lpstr>
      <vt:lpstr>Instructions</vt:lpstr>
      <vt:lpstr>job_no</vt:lpstr>
      <vt:lpstr>N.c</vt:lpstr>
      <vt:lpstr>NoDotsOK</vt:lpstr>
      <vt:lpstr>'1.2m depth Rect Pit'!Print_Area</vt:lpstr>
      <vt:lpstr>'1.8m depth C2 Liner MD'!Print_Area</vt:lpstr>
      <vt:lpstr>'1.8m depth C4 Liner '!Print_Area</vt:lpstr>
      <vt:lpstr>'1.8m depth Rect Pit'!Print_Area</vt:lpstr>
      <vt:lpstr>'2.1m depth C4 Liner '!Print_Area</vt:lpstr>
      <vt:lpstr>'2.1m depth Rect Pit '!Print_Area</vt:lpstr>
      <vt:lpstr>Background!Print_Area</vt:lpstr>
      <vt:lpstr>'Doc Control'!Print_Area</vt:lpstr>
      <vt:lpstr>Introduction!Print_Area</vt:lpstr>
      <vt:lpstr>'Sample calculation sheet'!Print_Area</vt:lpstr>
      <vt:lpstr>'Sample theory sheet'!Print_Area</vt:lpstr>
      <vt:lpstr>'1.2m depth Rect Pit'!Print_Titles</vt:lpstr>
      <vt:lpstr>'1.8m depth C2 Liner MD'!Print_Titles</vt:lpstr>
      <vt:lpstr>'1.8m depth C4 Liner '!Print_Titles</vt:lpstr>
      <vt:lpstr>'1.8m depth Rect Pit'!Print_Titles</vt:lpstr>
      <vt:lpstr>'2.1m depth C4 Liner '!Print_Titles</vt:lpstr>
      <vt:lpstr>'2.1m depth Rect Pit '!Print_Titles</vt:lpstr>
      <vt:lpstr>'Doc Control'!Print_Titles</vt:lpstr>
      <vt:lpstr>Introduction!Print_Titles</vt:lpstr>
      <vt:lpstr>'Sample calculation sheet'!Print_Titles</vt:lpstr>
      <vt:lpstr>'Sample theory sheet'!Print_Titles</vt:lpstr>
      <vt:lpstr>project</vt:lpstr>
      <vt:lpstr>pwDocCode</vt:lpstr>
      <vt:lpstr>pwVersion</vt:lpstr>
      <vt:lpstr>Revision</vt:lpstr>
      <vt:lpstr>SpreadsheetName</vt:lpstr>
      <vt:lpstr>subject</vt:lpstr>
      <vt:lpstr>Text.ex</vt:lpstr>
      <vt:lpstr>φA.st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Calculation spreadsheet template</dc:title>
  <dc:creator>Thomas.McCracken@aurecongroup.com;Richard.Woollard@aurecongroup.com</dc:creator>
  <cp:lastModifiedBy>Patrick Hayes</cp:lastModifiedBy>
  <cp:lastPrinted>2024-06-27T15:41:53Z</cp:lastPrinted>
  <dcterms:created xsi:type="dcterms:W3CDTF">2004-05-19T11:22:00Z</dcterms:created>
  <dcterms:modified xsi:type="dcterms:W3CDTF">2025-07-30T02:00:11Z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W_ENV_Approver">
    <vt:lpwstr/>
  </property>
  <property fmtid="{D5CDD505-2E9C-101B-9397-08002B2CF9AE}" pid="3" name="PW_ENV_Author">
    <vt:lpwstr/>
  </property>
  <property fmtid="{D5CDD505-2E9C-101B-9397-08002B2CF9AE}" pid="4" name="PW_ENV_AuthorDate">
    <vt:lpwstr/>
  </property>
  <property fmtid="{D5CDD505-2E9C-101B-9397-08002B2CF9AE}" pid="5" name="PW_ENV_Company">
    <vt:lpwstr/>
  </property>
  <property fmtid="{D5CDD505-2E9C-101B-9397-08002B2CF9AE}" pid="6" name="PW_ENV_ConstSuper">
    <vt:lpwstr>[PW_ENV_ConstSuper]</vt:lpwstr>
  </property>
  <property fmtid="{D5CDD505-2E9C-101B-9397-08002B2CF9AE}" pid="7" name="PW_ENV_ConstSuperDate">
    <vt:lpwstr>[PW_ENV_ConstSuperDate]</vt:lpwstr>
  </property>
  <property fmtid="{D5CDD505-2E9C-101B-9397-08002B2CF9AE}" pid="8" name="PW_ENV_ConstSuperStatus">
    <vt:lpwstr>[PW_ENV_ConstSuperStatus]</vt:lpwstr>
  </property>
  <property fmtid="{D5CDD505-2E9C-101B-9397-08002B2CF9AE}" pid="9" name="PW_ENV_CostofChange">
    <vt:lpwstr>[PW_ENV_CostofChange]</vt:lpwstr>
  </property>
  <property fmtid="{D5CDD505-2E9C-101B-9397-08002B2CF9AE}" pid="10" name="PW_ENV_Date">
    <vt:lpwstr/>
  </property>
  <property fmtid="{D5CDD505-2E9C-101B-9397-08002B2CF9AE}" pid="11" name="PW_ENV_DocCode">
    <vt:lpwstr/>
  </property>
  <property fmtid="{D5CDD505-2E9C-101B-9397-08002B2CF9AE}" pid="12" name="PW_ENV_DocName">
    <vt:lpwstr>BNERSM-0005-TEM-JJ-0001-Calc_Template</vt:lpwstr>
  </property>
  <property fmtid="{D5CDD505-2E9C-101B-9397-08002B2CF9AE}" pid="13" name="PW_ENV_Engineer">
    <vt:lpwstr/>
  </property>
  <property fmtid="{D5CDD505-2E9C-101B-9397-08002B2CF9AE}" pid="14" name="PW_ENV_EngineerDate">
    <vt:lpwstr/>
  </property>
  <property fmtid="{D5CDD505-2E9C-101B-9397-08002B2CF9AE}" pid="15" name="PW_ENV_EngineerStatus">
    <vt:lpwstr/>
  </property>
  <property fmtid="{D5CDD505-2E9C-101B-9397-08002B2CF9AE}" pid="16" name="PW_ENV_ProjectLeader">
    <vt:lpwstr>[PW_ENV_ProjectLeader]</vt:lpwstr>
  </property>
  <property fmtid="{D5CDD505-2E9C-101B-9397-08002B2CF9AE}" pid="17" name="PW_ENV_ProjectLeaderDate">
    <vt:lpwstr>[PW_ENV_ProjectLeaderDate]</vt:lpwstr>
  </property>
  <property fmtid="{D5CDD505-2E9C-101B-9397-08002B2CF9AE}" pid="18" name="PW_ENV_ProjectLeaderStatus">
    <vt:lpwstr>[PW_ENV_ProjectLeaderStatus]</vt:lpwstr>
  </property>
  <property fmtid="{D5CDD505-2E9C-101B-9397-08002B2CF9AE}" pid="19" name="PW_ENV_ReponseDateReceived">
    <vt:lpwstr/>
  </property>
  <property fmtid="{D5CDD505-2E9C-101B-9397-08002B2CF9AE}" pid="20" name="PW_ENV_RequestFrom">
    <vt:lpwstr/>
  </property>
  <property fmtid="{D5CDD505-2E9C-101B-9397-08002B2CF9AE}" pid="21" name="PW_ENV_ResponseDateRequired">
    <vt:lpwstr/>
  </property>
  <property fmtid="{D5CDD505-2E9C-101B-9397-08002B2CF9AE}" pid="22" name="PW_ENV_ResponseFrom">
    <vt:lpwstr/>
  </property>
  <property fmtid="{D5CDD505-2E9C-101B-9397-08002B2CF9AE}" pid="23" name="PW_ENV_Rev">
    <vt:lpwstr/>
  </property>
  <property fmtid="{D5CDD505-2E9C-101B-9397-08002B2CF9AE}" pid="24" name="PW_ENV_Rev1">
    <vt:lpwstr/>
  </property>
  <property fmtid="{D5CDD505-2E9C-101B-9397-08002B2CF9AE}" pid="25" name="PW_ENV_Rev2">
    <vt:lpwstr/>
  </property>
  <property fmtid="{D5CDD505-2E9C-101B-9397-08002B2CF9AE}" pid="26" name="PW_ENV_Rev3">
    <vt:lpwstr/>
  </property>
  <property fmtid="{D5CDD505-2E9C-101B-9397-08002B2CF9AE}" pid="27" name="PW_ENV_Rev4">
    <vt:lpwstr/>
  </property>
  <property fmtid="{D5CDD505-2E9C-101B-9397-08002B2CF9AE}" pid="28" name="PW_ENV_RevDate1">
    <vt:lpwstr/>
  </property>
  <property fmtid="{D5CDD505-2E9C-101B-9397-08002B2CF9AE}" pid="29" name="PW_ENV_RevDate2">
    <vt:lpwstr/>
  </property>
  <property fmtid="{D5CDD505-2E9C-101B-9397-08002B2CF9AE}" pid="30" name="PW_ENV_RevDate3">
    <vt:lpwstr/>
  </property>
  <property fmtid="{D5CDD505-2E9C-101B-9397-08002B2CF9AE}" pid="31" name="PW_ENV_RevDate4">
    <vt:lpwstr/>
  </property>
  <property fmtid="{D5CDD505-2E9C-101B-9397-08002B2CF9AE}" pid="32" name="PW_ENV_RevDes1">
    <vt:lpwstr/>
  </property>
  <property fmtid="{D5CDD505-2E9C-101B-9397-08002B2CF9AE}" pid="33" name="PW_ENV_RevDes2">
    <vt:lpwstr/>
  </property>
  <property fmtid="{D5CDD505-2E9C-101B-9397-08002B2CF9AE}" pid="34" name="PW_ENV_RevDes3">
    <vt:lpwstr/>
  </property>
  <property fmtid="{D5CDD505-2E9C-101B-9397-08002B2CF9AE}" pid="35" name="PW_ENV_RevDes4">
    <vt:lpwstr/>
  </property>
  <property fmtid="{D5CDD505-2E9C-101B-9397-08002B2CF9AE}" pid="36" name="PW_ENV_RFINumber">
    <vt:lpwstr/>
  </property>
  <property fmtid="{D5CDD505-2E9C-101B-9397-08002B2CF9AE}" pid="37" name="PW_ENV_RTAProjMan">
    <vt:lpwstr>[PW_ENV_RTAProjMan]</vt:lpwstr>
  </property>
  <property fmtid="{D5CDD505-2E9C-101B-9397-08002B2CF9AE}" pid="38" name="PW_ENV_RTAProjManDate">
    <vt:lpwstr>[PW_ENV_RTAProjManDate]</vt:lpwstr>
  </property>
  <property fmtid="{D5CDD505-2E9C-101B-9397-08002B2CF9AE}" pid="39" name="PW_ENV_RTAProjManStatus">
    <vt:lpwstr>[PW_ENV_RTAProjManStatus]</vt:lpwstr>
  </property>
  <property fmtid="{D5CDD505-2E9C-101B-9397-08002B2CF9AE}" pid="40" name="PW_ENV_Title">
    <vt:lpwstr>Optional template to use if preferred</vt:lpwstr>
  </property>
  <property fmtid="{D5CDD505-2E9C-101B-9397-08002B2CF9AE}" pid="41" name="PW_PROJ_Client">
    <vt:lpwstr>Aecom Aus Pty Ltd &amp; Aurecon Aus PL</vt:lpwstr>
  </property>
  <property fmtid="{D5CDD505-2E9C-101B-9397-08002B2CF9AE}" pid="42" name="PW_PROJ_PONumber">
    <vt:lpwstr>[PW_PROJ_PONumber]</vt:lpwstr>
  </property>
  <property fmtid="{D5CDD505-2E9C-101B-9397-08002B2CF9AE}" pid="43" name="PW_PROJ_ProjectName">
    <vt:lpwstr/>
  </property>
  <property fmtid="{D5CDD505-2E9C-101B-9397-08002B2CF9AE}" pid="44" name="PW_PROJ_ProjectNumber">
    <vt:lpwstr>510445</vt:lpwstr>
  </property>
  <property fmtid="{D5CDD505-2E9C-101B-9397-08002B2CF9AE}" pid="45" name="PW_ENV_RevPrep1">
    <vt:lpwstr/>
  </property>
  <property fmtid="{D5CDD505-2E9C-101B-9397-08002B2CF9AE}" pid="46" name="PW_ENV_RevPrep2">
    <vt:lpwstr/>
  </property>
  <property fmtid="{D5CDD505-2E9C-101B-9397-08002B2CF9AE}" pid="47" name="PW_ENV_RevPrep3">
    <vt:lpwstr/>
  </property>
  <property fmtid="{D5CDD505-2E9C-101B-9397-08002B2CF9AE}" pid="48" name="PW_ENV_RevPrep4">
    <vt:lpwstr/>
  </property>
  <property fmtid="{D5CDD505-2E9C-101B-9397-08002B2CF9AE}" pid="49" name="PW_ENV_RevVer1">
    <vt:lpwstr/>
  </property>
  <property fmtid="{D5CDD505-2E9C-101B-9397-08002B2CF9AE}" pid="50" name="PW_ENV_RevVer2">
    <vt:lpwstr/>
  </property>
  <property fmtid="{D5CDD505-2E9C-101B-9397-08002B2CF9AE}" pid="51" name="PW_ENV_RevVer3">
    <vt:lpwstr/>
  </property>
  <property fmtid="{D5CDD505-2E9C-101B-9397-08002B2CF9AE}" pid="52" name="PW_ENV_FILEPATH">
    <vt:lpwstr/>
  </property>
  <property fmtid="{D5CDD505-2E9C-101B-9397-08002B2CF9AE}" pid="53" name="PW_ENV_RevVer4">
    <vt:lpwstr/>
  </property>
  <property fmtid="{D5CDD505-2E9C-101B-9397-08002B2CF9AE}" pid="54" name="PW_ENV_RevApp1">
    <vt:lpwstr/>
  </property>
  <property fmtid="{D5CDD505-2E9C-101B-9397-08002B2CF9AE}" pid="55" name="PW_ENV_RevApp2">
    <vt:lpwstr/>
  </property>
  <property fmtid="{D5CDD505-2E9C-101B-9397-08002B2CF9AE}" pid="56" name="PW_ENV_RevApp3">
    <vt:lpwstr/>
  </property>
  <property fmtid="{D5CDD505-2E9C-101B-9397-08002B2CF9AE}" pid="57" name="PW_ENV_RevApp4">
    <vt:lpwstr/>
  </property>
  <property fmtid="{D5CDD505-2E9C-101B-9397-08002B2CF9AE}" pid="58" name="Folder_Number">
    <vt:lpwstr/>
  </property>
  <property fmtid="{D5CDD505-2E9C-101B-9397-08002B2CF9AE}" pid="59" name="Folder_Code">
    <vt:lpwstr/>
  </property>
  <property fmtid="{D5CDD505-2E9C-101B-9397-08002B2CF9AE}" pid="60" name="Folder_Name">
    <vt:lpwstr/>
  </property>
  <property fmtid="{D5CDD505-2E9C-101B-9397-08002B2CF9AE}" pid="61" name="Folder_Description">
    <vt:lpwstr/>
  </property>
  <property fmtid="{D5CDD505-2E9C-101B-9397-08002B2CF9AE}" pid="62" name="/Folder_Name/">
    <vt:lpwstr/>
  </property>
  <property fmtid="{D5CDD505-2E9C-101B-9397-08002B2CF9AE}" pid="63" name="/Folder_Description/">
    <vt:lpwstr/>
  </property>
  <property fmtid="{D5CDD505-2E9C-101B-9397-08002B2CF9AE}" pid="64" name="Folder_Version">
    <vt:lpwstr/>
  </property>
  <property fmtid="{D5CDD505-2E9C-101B-9397-08002B2CF9AE}" pid="65" name="Folder_VersionSeq">
    <vt:lpwstr/>
  </property>
  <property fmtid="{D5CDD505-2E9C-101B-9397-08002B2CF9AE}" pid="66" name="Folder_Manager">
    <vt:lpwstr/>
  </property>
  <property fmtid="{D5CDD505-2E9C-101B-9397-08002B2CF9AE}" pid="67" name="Folder_ManagerDesc">
    <vt:lpwstr/>
  </property>
  <property fmtid="{D5CDD505-2E9C-101B-9397-08002B2CF9AE}" pid="68" name="Folder_Storage">
    <vt:lpwstr/>
  </property>
  <property fmtid="{D5CDD505-2E9C-101B-9397-08002B2CF9AE}" pid="69" name="Folder_StorageDesc">
    <vt:lpwstr/>
  </property>
  <property fmtid="{D5CDD505-2E9C-101B-9397-08002B2CF9AE}" pid="70" name="Folder_Creator">
    <vt:lpwstr/>
  </property>
  <property fmtid="{D5CDD505-2E9C-101B-9397-08002B2CF9AE}" pid="71" name="Folder_CreatorDesc">
    <vt:lpwstr/>
  </property>
  <property fmtid="{D5CDD505-2E9C-101B-9397-08002B2CF9AE}" pid="72" name="Folder_CreateDate">
    <vt:lpwstr/>
  </property>
  <property fmtid="{D5CDD505-2E9C-101B-9397-08002B2CF9AE}" pid="73" name="Folder_Updater">
    <vt:lpwstr/>
  </property>
  <property fmtid="{D5CDD505-2E9C-101B-9397-08002B2CF9AE}" pid="74" name="Folder_UpdaterDesc">
    <vt:lpwstr/>
  </property>
  <property fmtid="{D5CDD505-2E9C-101B-9397-08002B2CF9AE}" pid="75" name="Folder_UpdateDate">
    <vt:lpwstr/>
  </property>
  <property fmtid="{D5CDD505-2E9C-101B-9397-08002B2CF9AE}" pid="76" name="Document_Number">
    <vt:lpwstr/>
  </property>
  <property fmtid="{D5CDD505-2E9C-101B-9397-08002B2CF9AE}" pid="77" name="Document_Name">
    <vt:lpwstr/>
  </property>
  <property fmtid="{D5CDD505-2E9C-101B-9397-08002B2CF9AE}" pid="78" name="Document_FileName">
    <vt:lpwstr/>
  </property>
  <property fmtid="{D5CDD505-2E9C-101B-9397-08002B2CF9AE}" pid="79" name="Document_Version">
    <vt:lpwstr/>
  </property>
  <property fmtid="{D5CDD505-2E9C-101B-9397-08002B2CF9AE}" pid="80" name="Document_VersionSeq">
    <vt:lpwstr/>
  </property>
  <property fmtid="{D5CDD505-2E9C-101B-9397-08002B2CF9AE}" pid="81" name="Document_Creator">
    <vt:lpwstr/>
  </property>
  <property fmtid="{D5CDD505-2E9C-101B-9397-08002B2CF9AE}" pid="82" name="Document_CreatorDesc">
    <vt:lpwstr/>
  </property>
  <property fmtid="{D5CDD505-2E9C-101B-9397-08002B2CF9AE}" pid="83" name="Document_CreateDate">
    <vt:lpwstr/>
  </property>
  <property fmtid="{D5CDD505-2E9C-101B-9397-08002B2CF9AE}" pid="84" name="Document_Updater">
    <vt:lpwstr/>
  </property>
  <property fmtid="{D5CDD505-2E9C-101B-9397-08002B2CF9AE}" pid="85" name="Document_UpdaterDesc">
    <vt:lpwstr/>
  </property>
  <property fmtid="{D5CDD505-2E9C-101B-9397-08002B2CF9AE}" pid="86" name="Document_UpdateDate">
    <vt:lpwstr/>
  </property>
  <property fmtid="{D5CDD505-2E9C-101B-9397-08002B2CF9AE}" pid="87" name="Document_Size">
    <vt:lpwstr/>
  </property>
  <property fmtid="{D5CDD505-2E9C-101B-9397-08002B2CF9AE}" pid="88" name="Document_Storage">
    <vt:lpwstr/>
  </property>
  <property fmtid="{D5CDD505-2E9C-101B-9397-08002B2CF9AE}" pid="89" name="Document_StorageDesc">
    <vt:lpwstr/>
  </property>
  <property fmtid="{D5CDD505-2E9C-101B-9397-08002B2CF9AE}" pid="90" name="Document_Department">
    <vt:lpwstr/>
  </property>
  <property fmtid="{D5CDD505-2E9C-101B-9397-08002B2CF9AE}" pid="91" name="Document_DepartmentDesc">
    <vt:lpwstr/>
  </property>
  <property fmtid="{D5CDD505-2E9C-101B-9397-08002B2CF9AE}" pid="92" name="PW_ENV_RevAuth1">
    <vt:lpwstr/>
  </property>
  <property fmtid="{D5CDD505-2E9C-101B-9397-08002B2CF9AE}" pid="93" name="PW_ENV_RevAuth2">
    <vt:lpwstr/>
  </property>
  <property fmtid="{D5CDD505-2E9C-101B-9397-08002B2CF9AE}" pid="94" name="PW_ENV_RevAuth3">
    <vt:lpwstr/>
  </property>
  <property fmtid="{D5CDD505-2E9C-101B-9397-08002B2CF9AE}" pid="95" name="PW_ENV_RevAuth4">
    <vt:lpwstr/>
  </property>
  <property fmtid="{D5CDD505-2E9C-101B-9397-08002B2CF9AE}" pid="96" name="PW_ENV_Ver">
    <vt:lpwstr/>
  </property>
</Properties>
</file>